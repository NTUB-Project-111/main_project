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main\document\chapter\excel\"/>
    </mc:Choice>
  </mc:AlternateContent>
  <xr:revisionPtr revIDLastSave="0" documentId="13_ncr:1_{DD3B2F56-6764-4669-8236-3FD2422A5244}" xr6:coauthVersionLast="47" xr6:coauthVersionMax="47" xr10:uidLastSave="{00000000-0000-0000-0000-000000000000}"/>
  <bookViews>
    <workbookView xWindow="-108" yWindow="-108" windowWidth="23256" windowHeight="12456" xr2:uid="{D409C9E1-8754-4380-8DEB-21ABCF0BBDE7}"/>
  </bookViews>
  <sheets>
    <sheet name="4-1專案排程-甘特圖-new" sheetId="3" r:id="rId1"/>
    <sheet name="4-1專案排程-甘特圖" sheetId="1" r:id="rId2"/>
    <sheet name="工作表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6" i="3" l="1"/>
  <c r="E35" i="3"/>
  <c r="L34" i="3"/>
  <c r="E33" i="3"/>
  <c r="L14" i="3"/>
  <c r="E13" i="3"/>
  <c r="E39" i="3"/>
  <c r="M26" i="3"/>
  <c r="M28" i="3"/>
  <c r="M30" i="3"/>
  <c r="M32" i="3"/>
  <c r="F27" i="3"/>
  <c r="F29" i="3"/>
  <c r="F31" i="3"/>
  <c r="F25" i="3"/>
  <c r="AG26" i="3"/>
  <c r="AG27" i="3"/>
  <c r="AG28" i="3"/>
  <c r="AG29" i="3"/>
  <c r="AG30" i="3"/>
  <c r="AG31" i="3"/>
  <c r="AG25" i="3"/>
  <c r="AG40" i="3"/>
  <c r="AD30" i="3"/>
  <c r="AD28" i="3"/>
  <c r="AD26" i="3"/>
  <c r="AD40" i="3"/>
  <c r="AD24" i="3"/>
  <c r="AD22" i="3"/>
  <c r="AD20" i="3"/>
  <c r="AD16" i="3"/>
  <c r="AD12" i="3"/>
  <c r="AD10" i="3"/>
  <c r="AD8" i="3"/>
  <c r="AD6" i="3"/>
  <c r="AD4" i="3"/>
  <c r="AD2" i="3"/>
  <c r="AD18" i="3"/>
  <c r="AC31" i="3"/>
  <c r="AC30" i="3"/>
  <c r="AC29" i="3"/>
  <c r="AC28" i="3"/>
  <c r="AC27" i="3"/>
  <c r="AC26" i="3"/>
  <c r="AC25" i="3"/>
  <c r="AC40" i="3"/>
  <c r="AC39" i="3"/>
  <c r="AC24" i="3"/>
  <c r="AC23" i="3"/>
  <c r="AC22" i="3"/>
  <c r="AC21" i="3"/>
  <c r="AC20" i="3"/>
  <c r="AC19" i="3"/>
  <c r="AC18" i="3"/>
  <c r="AC17" i="3"/>
  <c r="AC16" i="3"/>
  <c r="AC15" i="3"/>
  <c r="AC12" i="3"/>
  <c r="AC11" i="3"/>
  <c r="AC10" i="3"/>
  <c r="AC9" i="3"/>
  <c r="AC8" i="3"/>
  <c r="AC7" i="3"/>
  <c r="AC6" i="3"/>
  <c r="AC5" i="3"/>
  <c r="AC4" i="3"/>
  <c r="AE3" i="3"/>
  <c r="AC2" i="3"/>
  <c r="AB20" i="3"/>
  <c r="AB28" i="3"/>
  <c r="AB30" i="3"/>
  <c r="AB26" i="3"/>
  <c r="AB18" i="3"/>
  <c r="AB22" i="3"/>
  <c r="AB24" i="3"/>
  <c r="AB40" i="3"/>
  <c r="AB4" i="3"/>
  <c r="AB6" i="3"/>
  <c r="AB8" i="3"/>
  <c r="AB10" i="3"/>
  <c r="AB12" i="3"/>
  <c r="AB16" i="3"/>
  <c r="AB2" i="3"/>
  <c r="Y2" i="3"/>
  <c r="P32" i="3"/>
  <c r="AH31" i="3" s="1"/>
  <c r="I31" i="3"/>
  <c r="AH30" i="3" s="1"/>
  <c r="P30" i="3"/>
  <c r="AH29" i="3" s="1"/>
  <c r="I29" i="3"/>
  <c r="AH28" i="3" s="1"/>
  <c r="L40" i="3"/>
  <c r="L38" i="3"/>
  <c r="AD39" i="3" s="1"/>
  <c r="E37" i="3"/>
  <c r="P28" i="3"/>
  <c r="AH27" i="3" s="1"/>
  <c r="I27" i="3"/>
  <c r="AD27" i="3" s="1"/>
  <c r="P26" i="3"/>
  <c r="AH25" i="3" s="1"/>
  <c r="L32" i="3"/>
  <c r="AD31" i="3" s="1"/>
  <c r="E31" i="3"/>
  <c r="L30" i="3"/>
  <c r="AD29" i="3" s="1"/>
  <c r="E29" i="3"/>
  <c r="L28" i="3"/>
  <c r="E27" i="3"/>
  <c r="L26" i="3"/>
  <c r="AD25" i="3" s="1"/>
  <c r="I25" i="3"/>
  <c r="AH40" i="3" s="1"/>
  <c r="E25" i="3"/>
  <c r="L24" i="3"/>
  <c r="AD23" i="3" s="1"/>
  <c r="E23" i="3"/>
  <c r="L22" i="3"/>
  <c r="AD21" i="3" s="1"/>
  <c r="E21" i="3"/>
  <c r="L20" i="3"/>
  <c r="AD19" i="3" s="1"/>
  <c r="E19" i="3"/>
  <c r="L18" i="3"/>
  <c r="AD17" i="3" s="1"/>
  <c r="E17" i="3"/>
  <c r="L16" i="3"/>
  <c r="AD15" i="3" s="1"/>
  <c r="E15" i="3"/>
  <c r="L12" i="3"/>
  <c r="AD11" i="3" s="1"/>
  <c r="E11" i="3"/>
  <c r="L10" i="3"/>
  <c r="AD9" i="3" s="1"/>
  <c r="E9" i="3"/>
  <c r="L8" i="3"/>
  <c r="AD7" i="3" s="1"/>
  <c r="E7" i="3"/>
  <c r="L6" i="3"/>
  <c r="AD5" i="3" s="1"/>
  <c r="E5" i="3"/>
  <c r="L4" i="3"/>
  <c r="AF3" i="3" s="1"/>
  <c r="E3" i="3"/>
  <c r="G23" i="1"/>
  <c r="J26" i="1"/>
  <c r="J4" i="1"/>
  <c r="J14" i="1"/>
  <c r="J12" i="1"/>
  <c r="J6" i="1"/>
  <c r="J8" i="1"/>
  <c r="J10" i="1"/>
  <c r="J16" i="1"/>
  <c r="J18" i="1"/>
  <c r="J20" i="1"/>
  <c r="J22" i="1"/>
  <c r="J24" i="1"/>
  <c r="J28" i="1"/>
  <c r="J30" i="1"/>
  <c r="D17" i="1"/>
  <c r="D19" i="1"/>
  <c r="D21" i="1"/>
  <c r="D23" i="1"/>
  <c r="D25" i="1"/>
  <c r="D27" i="1"/>
  <c r="D29" i="1"/>
  <c r="D5" i="1"/>
  <c r="D7" i="1"/>
  <c r="D9" i="1"/>
  <c r="D11" i="1"/>
  <c r="D13" i="1"/>
  <c r="D15" i="1"/>
  <c r="D3" i="1"/>
  <c r="AH26" i="3" l="1"/>
</calcChain>
</file>

<file path=xl/sharedStrings.xml><?xml version="1.0" encoding="utf-8"?>
<sst xmlns="http://schemas.openxmlformats.org/spreadsheetml/2006/main" count="98" uniqueCount="55">
  <si>
    <t>項目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</si>
  <si>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</si>
  <si>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</si>
  <si>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</si>
  <si>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</si>
  <si>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</si>
  <si>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</si>
  <si>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</si>
  <si>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</si>
  <si>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</si>
  <si>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</si>
  <si>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</si>
  <si>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</si>
  <si>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技術學習</t>
    <phoneticPr fontId="1" type="noConversion"/>
  </si>
  <si>
    <t>題目發想</t>
    <phoneticPr fontId="1" type="noConversion"/>
  </si>
  <si>
    <t>功能分析</t>
  </si>
  <si>
    <t>功能分析</t>
    <phoneticPr fontId="1" type="noConversion"/>
  </si>
  <si>
    <t>系統需求分析</t>
  </si>
  <si>
    <t>系統需求分析</t>
    <phoneticPr fontId="1" type="noConversion"/>
  </si>
  <si>
    <t>資料庫建置</t>
    <phoneticPr fontId="1" type="noConversion"/>
  </si>
  <si>
    <t>UI/UX設計</t>
  </si>
  <si>
    <t>UI/UX設計</t>
    <phoneticPr fontId="1" type="noConversion"/>
  </si>
  <si>
    <t>API設計</t>
  </si>
  <si>
    <t>API設計</t>
    <phoneticPr fontId="1" type="noConversion"/>
  </si>
  <si>
    <t>前端開發</t>
    <phoneticPr fontId="1" type="noConversion"/>
  </si>
  <si>
    <t>後端開發</t>
    <phoneticPr fontId="1" type="noConversion"/>
  </si>
  <si>
    <t>伺服器架設</t>
    <phoneticPr fontId="1" type="noConversion"/>
  </si>
  <si>
    <t>系統整合</t>
  </si>
  <si>
    <t>系統整合</t>
    <phoneticPr fontId="1" type="noConversion"/>
  </si>
  <si>
    <t>系統測試</t>
  </si>
  <si>
    <t>系統測試</t>
    <phoneticPr fontId="1" type="noConversion"/>
  </si>
  <si>
    <t>文件製作</t>
  </si>
  <si>
    <t>文件製作</t>
    <phoneticPr fontId="1" type="noConversion"/>
  </si>
  <si>
    <t>簡報製作</t>
  </si>
  <si>
    <t>簡報製作</t>
    <phoneticPr fontId="1" type="noConversion"/>
  </si>
  <si>
    <t>競賽參與</t>
    <phoneticPr fontId="1" type="noConversion"/>
  </si>
  <si>
    <t>實際進度</t>
    <phoneticPr fontId="1" type="noConversion"/>
  </si>
  <si>
    <t>開始</t>
    <phoneticPr fontId="1" type="noConversion"/>
  </si>
  <si>
    <t>結束</t>
    <phoneticPr fontId="1" type="noConversion"/>
  </si>
  <si>
    <t>天數</t>
    <phoneticPr fontId="1" type="noConversion"/>
  </si>
  <si>
    <t>預計進度(初評)</t>
    <phoneticPr fontId="1" type="noConversion"/>
  </si>
  <si>
    <t>實際進度(初評)</t>
    <phoneticPr fontId="1" type="noConversion"/>
  </si>
  <si>
    <t>實際進度(複評)</t>
    <phoneticPr fontId="1" type="noConversion"/>
  </si>
  <si>
    <t>預計進度(複評)</t>
    <phoneticPr fontId="1" type="noConversion"/>
  </si>
  <si>
    <t>間隔天數</t>
    <phoneticPr fontId="1" type="noConversion"/>
  </si>
  <si>
    <t>持續天數</t>
    <phoneticPr fontId="1" type="noConversion"/>
  </si>
  <si>
    <t>競賽</t>
    <phoneticPr fontId="1" type="noConversion"/>
  </si>
  <si>
    <t>實際間隔</t>
    <phoneticPr fontId="1" type="noConversion"/>
  </si>
  <si>
    <t>實際天數</t>
    <phoneticPr fontId="1" type="noConversion"/>
  </si>
  <si>
    <t>實際間隔天數</t>
    <phoneticPr fontId="1" type="noConversion"/>
  </si>
  <si>
    <t>競賽參與-1</t>
    <phoneticPr fontId="1" type="noConversion"/>
  </si>
  <si>
    <t>競賽參與-2</t>
    <phoneticPr fontId="1" type="noConversion"/>
  </si>
  <si>
    <t>模型訓練</t>
    <phoneticPr fontId="1" type="noConversion"/>
  </si>
  <si>
    <t>策展籌備</t>
    <phoneticPr fontId="1" type="noConversion"/>
  </si>
  <si>
    <t>最終文件製作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</si>
</sst>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0" borderId="7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Fill="1" applyBorder="1">
      <alignment vertical="center"/>
    </xf>
    <xf numFmtId="0" fontId="0" fillId="0" borderId="9" xfId="0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1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11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0" borderId="7" xfId="0" applyFill="1" applyBorder="1">
      <alignment vertical="center"/>
    </xf>
    <xf numFmtId="0" fontId="0" fillId="3" borderId="11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0" xfId="0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14" fontId="0" fillId="4" borderId="0" xfId="0" applyNumberFormat="1" applyFill="1">
      <alignment vertical="center"/>
    </xf>
    <xf numFmtId="0" fontId="0" fillId="4" borderId="6" xfId="0" applyFill="1" applyBorder="1">
      <alignment vertical="center"/>
    </xf>
    <xf numFmtId="14" fontId="0" fillId="4" borderId="7" xfId="0" applyNumberFormat="1" applyFill="1" applyBorder="1">
      <alignment vertical="center"/>
    </xf>
    <xf numFmtId="0" fontId="0" fillId="4" borderId="7" xfId="0" applyFill="1" applyBorder="1">
      <alignment vertical="center"/>
    </xf>
    <xf numFmtId="14" fontId="0" fillId="0" borderId="0" xfId="0" applyNumberFormat="1" applyBorder="1">
      <alignment vertical="center"/>
    </xf>
    <xf numFmtId="0" fontId="0" fillId="4" borderId="4" xfId="0" applyFill="1" applyBorder="1">
      <alignment vertical="center"/>
    </xf>
    <xf numFmtId="14" fontId="0" fillId="4" borderId="0" xfId="0" applyNumberFormat="1" applyFill="1" applyBorder="1">
      <alignment vertical="center"/>
    </xf>
    <xf numFmtId="0" fontId="0" fillId="4" borderId="0" xfId="0" applyFill="1" applyBorder="1">
      <alignment vertical="center"/>
    </xf>
    <xf numFmtId="14" fontId="0" fillId="0" borderId="9" xfId="0" applyNumberFormat="1" applyBorder="1">
      <alignment vertical="center"/>
    </xf>
    <xf numFmtId="14" fontId="2" fillId="4" borderId="0" xfId="0" applyNumberFormat="1" applyFont="1" applyFill="1" applyBorder="1">
      <alignment vertical="center"/>
    </xf>
    <xf numFmtId="14" fontId="2" fillId="4" borderId="7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19B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2"/>
          <c:order val="0"/>
          <c:tx>
            <c:v>項目</c:v>
          </c:tx>
          <c:spPr>
            <a:noFill/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'4-1專案排程-甘特圖-new'!$C$3:$C$40</c:f>
              <c:numCache>
                <c:formatCode>m/d/yyyy</c:formatCode>
                <c:ptCount val="38"/>
                <c:pt idx="0">
                  <c:v>45597</c:v>
                </c:pt>
                <c:pt idx="2">
                  <c:v>45597</c:v>
                </c:pt>
                <c:pt idx="4">
                  <c:v>45658</c:v>
                </c:pt>
                <c:pt idx="6">
                  <c:v>45708</c:v>
                </c:pt>
                <c:pt idx="8">
                  <c:v>45726</c:v>
                </c:pt>
                <c:pt idx="10">
                  <c:v>45687</c:v>
                </c:pt>
                <c:pt idx="12">
                  <c:v>45730</c:v>
                </c:pt>
                <c:pt idx="14">
                  <c:v>45733</c:v>
                </c:pt>
                <c:pt idx="16">
                  <c:v>45733</c:v>
                </c:pt>
                <c:pt idx="18">
                  <c:v>45748</c:v>
                </c:pt>
                <c:pt idx="20">
                  <c:v>45748</c:v>
                </c:pt>
                <c:pt idx="22">
                  <c:v>45786</c:v>
                </c:pt>
                <c:pt idx="24">
                  <c:v>45802</c:v>
                </c:pt>
                <c:pt idx="26">
                  <c:v>45765</c:v>
                </c:pt>
                <c:pt idx="28">
                  <c:v>45797</c:v>
                </c:pt>
                <c:pt idx="30">
                  <c:v>45948</c:v>
                </c:pt>
                <c:pt idx="32">
                  <c:v>45960</c:v>
                </c:pt>
                <c:pt idx="34">
                  <c:v>45839</c:v>
                </c:pt>
                <c:pt idx="36">
                  <c:v>45870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7-4705-9778-2A4DACE048DA}"/>
            </c:ext>
          </c:extLst>
        </c:ser>
        <c:ser>
          <c:idx val="3"/>
          <c:order val="1"/>
          <c:tx>
            <c:v>預計排程</c:v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'4-1專案排程-甘特圖-new'!$E$3:$E$40</c:f>
              <c:numCache>
                <c:formatCode>General</c:formatCode>
                <c:ptCount val="38"/>
                <c:pt idx="0">
                  <c:v>272</c:v>
                </c:pt>
                <c:pt idx="2">
                  <c:v>120</c:v>
                </c:pt>
                <c:pt idx="4">
                  <c:v>91</c:v>
                </c:pt>
                <c:pt idx="6">
                  <c:v>55</c:v>
                </c:pt>
                <c:pt idx="8">
                  <c:v>144</c:v>
                </c:pt>
                <c:pt idx="10">
                  <c:v>213</c:v>
                </c:pt>
                <c:pt idx="12">
                  <c:v>140</c:v>
                </c:pt>
                <c:pt idx="14">
                  <c:v>168</c:v>
                </c:pt>
                <c:pt idx="16">
                  <c:v>168</c:v>
                </c:pt>
                <c:pt idx="18">
                  <c:v>153</c:v>
                </c:pt>
                <c:pt idx="20">
                  <c:v>153</c:v>
                </c:pt>
                <c:pt idx="22">
                  <c:v>17</c:v>
                </c:pt>
                <c:pt idx="24">
                  <c:v>7</c:v>
                </c:pt>
                <c:pt idx="26">
                  <c:v>36</c:v>
                </c:pt>
                <c:pt idx="28">
                  <c:v>8</c:v>
                </c:pt>
                <c:pt idx="30">
                  <c:v>50</c:v>
                </c:pt>
                <c:pt idx="32">
                  <c:v>58</c:v>
                </c:pt>
                <c:pt idx="34">
                  <c:v>115</c:v>
                </c:pt>
                <c:pt idx="36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7-4705-9778-2A4DACE048DA}"/>
            </c:ext>
          </c:extLst>
        </c:ser>
        <c:ser>
          <c:idx val="4"/>
          <c:order val="2"/>
          <c:tx>
            <c:v>實際進度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'4-1專案排程-甘特圖-new'!$J$3:$J$40</c:f>
              <c:numCache>
                <c:formatCode>m/d/yyyy</c:formatCode>
                <c:ptCount val="38"/>
                <c:pt idx="1">
                  <c:v>45597</c:v>
                </c:pt>
                <c:pt idx="3">
                  <c:v>45597</c:v>
                </c:pt>
                <c:pt idx="5">
                  <c:v>45658</c:v>
                </c:pt>
                <c:pt idx="7">
                  <c:v>45708</c:v>
                </c:pt>
                <c:pt idx="9">
                  <c:v>45717</c:v>
                </c:pt>
                <c:pt idx="11">
                  <c:v>45687</c:v>
                </c:pt>
                <c:pt idx="13">
                  <c:v>45730</c:v>
                </c:pt>
                <c:pt idx="15">
                  <c:v>45733</c:v>
                </c:pt>
                <c:pt idx="17">
                  <c:v>45733</c:v>
                </c:pt>
                <c:pt idx="19">
                  <c:v>45748</c:v>
                </c:pt>
                <c:pt idx="21">
                  <c:v>45748</c:v>
                </c:pt>
                <c:pt idx="23">
                  <c:v>45786</c:v>
                </c:pt>
                <c:pt idx="25">
                  <c:v>45802</c:v>
                </c:pt>
                <c:pt idx="27">
                  <c:v>45765</c:v>
                </c:pt>
                <c:pt idx="29">
                  <c:v>45797</c:v>
                </c:pt>
                <c:pt idx="31">
                  <c:v>45948</c:v>
                </c:pt>
                <c:pt idx="33">
                  <c:v>45960</c:v>
                </c:pt>
                <c:pt idx="35">
                  <c:v>45839</c:v>
                </c:pt>
                <c:pt idx="37">
                  <c:v>45870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D7-4705-9778-2A4DACE048DA}"/>
            </c:ext>
          </c:extLst>
        </c:ser>
        <c:ser>
          <c:idx val="1"/>
          <c:order val="3"/>
          <c:tx>
            <c:v>實際排程</c:v>
          </c:tx>
          <c:spPr>
            <a:solidFill>
              <a:srgbClr val="F19B61"/>
            </a:solidFill>
            <a:ln>
              <a:noFill/>
            </a:ln>
            <a:effectLst/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'4-1專案排程-甘特圖-new'!$L$3:$L$40</c:f>
              <c:numCache>
                <c:formatCode>General</c:formatCode>
                <c:ptCount val="38"/>
                <c:pt idx="1">
                  <c:v>272</c:v>
                </c:pt>
                <c:pt idx="3">
                  <c:v>61</c:v>
                </c:pt>
                <c:pt idx="5">
                  <c:v>60</c:v>
                </c:pt>
                <c:pt idx="7">
                  <c:v>41</c:v>
                </c:pt>
                <c:pt idx="9">
                  <c:v>185</c:v>
                </c:pt>
                <c:pt idx="11">
                  <c:v>222</c:v>
                </c:pt>
                <c:pt idx="13">
                  <c:v>154</c:v>
                </c:pt>
                <c:pt idx="15">
                  <c:v>152</c:v>
                </c:pt>
                <c:pt idx="17">
                  <c:v>172</c:v>
                </c:pt>
                <c:pt idx="19">
                  <c:v>157</c:v>
                </c:pt>
                <c:pt idx="21">
                  <c:v>157</c:v>
                </c:pt>
                <c:pt idx="23">
                  <c:v>17</c:v>
                </c:pt>
                <c:pt idx="25">
                  <c:v>7</c:v>
                </c:pt>
                <c:pt idx="27">
                  <c:v>36</c:v>
                </c:pt>
                <c:pt idx="29">
                  <c:v>8</c:v>
                </c:pt>
                <c:pt idx="31">
                  <c:v>50</c:v>
                </c:pt>
                <c:pt idx="33">
                  <c:v>58</c:v>
                </c:pt>
                <c:pt idx="35">
                  <c:v>115</c:v>
                </c:pt>
                <c:pt idx="37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D7-4705-9778-2A4DACE048DA}"/>
            </c:ext>
          </c:extLst>
        </c:ser>
        <c:ser>
          <c:idx val="0"/>
          <c:order val="4"/>
          <c:tx>
            <c:v>間隔天數</c:v>
          </c:tx>
          <c:spPr>
            <a:noFill/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'4-1專案排程-甘特圖-new'!$F$3:$F$31</c:f>
              <c:numCache>
                <c:formatCode>General</c:formatCode>
                <c:ptCount val="29"/>
                <c:pt idx="22">
                  <c:v>82</c:v>
                </c:pt>
                <c:pt idx="24">
                  <c:v>81</c:v>
                </c:pt>
                <c:pt idx="26">
                  <c:v>117</c:v>
                </c:pt>
                <c:pt idx="2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ED7-4705-9778-2A4DACE048DA}"/>
            </c:ext>
          </c:extLst>
        </c:ser>
        <c:ser>
          <c:idx val="5"/>
          <c:order val="5"/>
          <c:tx>
            <c:v>再次進行</c:v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'4-1專案排程-甘特圖-new'!$I$3:$I$31</c:f>
              <c:numCache>
                <c:formatCode>General</c:formatCode>
                <c:ptCount val="29"/>
                <c:pt idx="22">
                  <c:v>32</c:v>
                </c:pt>
                <c:pt idx="24">
                  <c:v>34</c:v>
                </c:pt>
                <c:pt idx="26">
                  <c:v>17</c:v>
                </c:pt>
                <c:pt idx="2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D7-4705-9778-2A4DACE048DA}"/>
            </c:ext>
          </c:extLst>
        </c:ser>
        <c:ser>
          <c:idx val="6"/>
          <c:order val="6"/>
          <c:tx>
            <c:v>間隔天數-實際</c:v>
          </c:tx>
          <c:spPr>
            <a:noFill/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'4-1專案排程-甘特圖-new'!$M$3:$M$32</c:f>
              <c:numCache>
                <c:formatCode>General</c:formatCode>
                <c:ptCount val="30"/>
                <c:pt idx="23">
                  <c:v>82</c:v>
                </c:pt>
                <c:pt idx="25">
                  <c:v>81</c:v>
                </c:pt>
                <c:pt idx="27">
                  <c:v>117</c:v>
                </c:pt>
                <c:pt idx="2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ED7-4705-9778-2A4DACE048DA}"/>
            </c:ext>
          </c:extLst>
        </c:ser>
        <c:ser>
          <c:idx val="7"/>
          <c:order val="7"/>
          <c:tx>
            <c:v>再次進行-實際</c:v>
          </c:tx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'4-1專案排程-甘特圖-new'!$P$3:$P$32</c:f>
              <c:numCache>
                <c:formatCode>General</c:formatCode>
                <c:ptCount val="30"/>
                <c:pt idx="23">
                  <c:v>32</c:v>
                </c:pt>
                <c:pt idx="25">
                  <c:v>34</c:v>
                </c:pt>
                <c:pt idx="27">
                  <c:v>17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D7-4705-9778-2A4DACE04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66546607"/>
        <c:axId val="1066545775"/>
      </c:barChart>
      <c:catAx>
        <c:axId val="10665466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zh-TW"/>
          </a:p>
        </c:txPr>
        <c:crossAx val="1066545775"/>
        <c:crosses val="autoZero"/>
        <c:auto val="1"/>
        <c:lblAlgn val="ctr"/>
        <c:lblOffset val="100"/>
        <c:noMultiLvlLbl val="0"/>
      </c:catAx>
      <c:valAx>
        <c:axId val="1066545775"/>
        <c:scaling>
          <c:orientation val="minMax"/>
          <c:max val="46029"/>
          <c:min val="4559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zh-TW"/>
          </a:p>
        </c:txPr>
        <c:crossAx val="1066546607"/>
        <c:crosses val="autoZero"/>
        <c:crossBetween val="between"/>
        <c:majorUnit val="30"/>
        <c:minorUnit val="25"/>
      </c:valAx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txPr>
        <a:bodyPr/>
        <a:lstStyle/>
        <a:p>
          <a:pPr>
            <a:defRPr sz="1200"/>
          </a:pPr>
          <a:endParaRPr lang="zh-TW"/>
        </a:p>
      </c:txPr>
    </c:legend>
    <c:plotVisOnly val="1"/>
    <c:dispBlanksAs val="gap"/>
    <c:showDLblsOverMax val="0"/>
    <c:extLst/>
  </c:chart>
  <c:spPr>
    <a:ln w="12700">
      <a:noFill/>
    </a:ln>
  </c:spPr>
  <c:txPr>
    <a:bodyPr/>
    <a:lstStyle/>
    <a:p>
      <a:pPr>
        <a:defRPr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3914260717410324E-2"/>
          <c:y val="0.18157407407407408"/>
          <c:w val="0.89653018372703408"/>
          <c:h val="0.71565616797900267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'4-1專案排程-甘特圖-new'!$W$2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4-4635-8FCF-FD9E7C419B0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'4-1專案排程-甘特圖-new'!$X$2</c:f>
              <c:numCache>
                <c:formatCode>General</c:formatCode>
                <c:ptCount val="1"/>
                <c:pt idx="0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635-8FCF-FD9E7C419B0E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val>
            <c:numRef>
              <c:f>'4-1專案排程-甘特圖-new'!$Y$2</c:f>
              <c:numCache>
                <c:formatCode>General</c:formatCode>
                <c:ptCount val="1"/>
                <c:pt idx="0">
                  <c:v>-45839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74-4635-8FCF-FD9E7C419B0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'4-1專案排程-甘特圖-new'!$Z$2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74-4635-8FCF-FD9E7C419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3862543"/>
        <c:axId val="863862959"/>
      </c:barChart>
      <c:catAx>
        <c:axId val="86386254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3862959"/>
        <c:crosses val="autoZero"/>
        <c:auto val="1"/>
        <c:lblAlgn val="ctr"/>
        <c:lblOffset val="100"/>
        <c:noMultiLvlLbl val="0"/>
      </c:catAx>
      <c:valAx>
        <c:axId val="86386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386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'4-1專案排程-甘特圖-new'!$AC$1</c:f>
              <c:strCache>
                <c:ptCount val="1"/>
                <c:pt idx="0">
                  <c:v>間隔天數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'4-1專案排程-甘特圖-new'!$AB$2:$AB$31</c:f>
              <c:strCache>
                <c:ptCount val="29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競賽參與-1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</c:strCache>
            </c:strRef>
          </c:cat>
          <c:val>
            <c:numRef>
              <c:f>'4-1專案排程-甘特圖-new'!$AC$2:$AC$31</c:f>
              <c:numCache>
                <c:formatCode>General</c:formatCode>
                <c:ptCount val="30"/>
                <c:pt idx="0">
                  <c:v>45597</c:v>
                </c:pt>
                <c:pt idx="2">
                  <c:v>45597</c:v>
                </c:pt>
                <c:pt idx="3">
                  <c:v>45597</c:v>
                </c:pt>
                <c:pt idx="4">
                  <c:v>45658</c:v>
                </c:pt>
                <c:pt idx="5">
                  <c:v>45658</c:v>
                </c:pt>
                <c:pt idx="6">
                  <c:v>45708</c:v>
                </c:pt>
                <c:pt idx="7">
                  <c:v>45708</c:v>
                </c:pt>
                <c:pt idx="8">
                  <c:v>45726</c:v>
                </c:pt>
                <c:pt idx="9">
                  <c:v>45717</c:v>
                </c:pt>
                <c:pt idx="10">
                  <c:v>45730</c:v>
                </c:pt>
                <c:pt idx="13">
                  <c:v>45730</c:v>
                </c:pt>
                <c:pt idx="14">
                  <c:v>45733</c:v>
                </c:pt>
                <c:pt idx="15">
                  <c:v>45733</c:v>
                </c:pt>
                <c:pt idx="16">
                  <c:v>45733</c:v>
                </c:pt>
                <c:pt idx="17">
                  <c:v>45733</c:v>
                </c:pt>
                <c:pt idx="18">
                  <c:v>45748</c:v>
                </c:pt>
                <c:pt idx="19">
                  <c:v>45748</c:v>
                </c:pt>
                <c:pt idx="20">
                  <c:v>45748</c:v>
                </c:pt>
                <c:pt idx="21">
                  <c:v>45748</c:v>
                </c:pt>
                <c:pt idx="22">
                  <c:v>45839</c:v>
                </c:pt>
                <c:pt idx="23">
                  <c:v>45786</c:v>
                </c:pt>
                <c:pt idx="24">
                  <c:v>45802</c:v>
                </c:pt>
                <c:pt idx="25">
                  <c:v>45802</c:v>
                </c:pt>
                <c:pt idx="26">
                  <c:v>45765</c:v>
                </c:pt>
                <c:pt idx="27">
                  <c:v>45765</c:v>
                </c:pt>
                <c:pt idx="28">
                  <c:v>45797</c:v>
                </c:pt>
                <c:pt idx="29">
                  <c:v>45797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F-478C-AB2F-86BE45BFBEAA}"/>
            </c:ext>
          </c:extLst>
        </c:ser>
        <c:ser>
          <c:idx val="1"/>
          <c:order val="1"/>
          <c:tx>
            <c:strRef>
              <c:f>'4-1專案排程-甘特圖-new'!$AD$1</c:f>
              <c:strCache>
                <c:ptCount val="1"/>
                <c:pt idx="0">
                  <c:v>持續天數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'4-1專案排程-甘特圖-new'!$AB$2:$AB$31</c:f>
              <c:strCache>
                <c:ptCount val="29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競賽參與-1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</c:strCache>
            </c:strRef>
          </c:cat>
          <c:val>
            <c:numRef>
              <c:f>'4-1專案排程-甘特圖-new'!$AD$2:$AD$31</c:f>
              <c:numCache>
                <c:formatCode>General</c:formatCode>
                <c:ptCount val="30"/>
                <c:pt idx="0">
                  <c:v>272</c:v>
                </c:pt>
                <c:pt idx="2">
                  <c:v>120</c:v>
                </c:pt>
                <c:pt idx="3">
                  <c:v>61</c:v>
                </c:pt>
                <c:pt idx="4">
                  <c:v>91</c:v>
                </c:pt>
                <c:pt idx="5">
                  <c:v>60</c:v>
                </c:pt>
                <c:pt idx="6">
                  <c:v>55</c:v>
                </c:pt>
                <c:pt idx="7">
                  <c:v>41</c:v>
                </c:pt>
                <c:pt idx="8">
                  <c:v>144</c:v>
                </c:pt>
                <c:pt idx="9">
                  <c:v>185</c:v>
                </c:pt>
                <c:pt idx="10">
                  <c:v>140</c:v>
                </c:pt>
                <c:pt idx="13">
                  <c:v>154</c:v>
                </c:pt>
                <c:pt idx="14">
                  <c:v>168</c:v>
                </c:pt>
                <c:pt idx="15">
                  <c:v>152</c:v>
                </c:pt>
                <c:pt idx="16">
                  <c:v>168</c:v>
                </c:pt>
                <c:pt idx="17">
                  <c:v>172</c:v>
                </c:pt>
                <c:pt idx="18">
                  <c:v>153</c:v>
                </c:pt>
                <c:pt idx="19">
                  <c:v>157</c:v>
                </c:pt>
                <c:pt idx="20">
                  <c:v>153</c:v>
                </c:pt>
                <c:pt idx="21">
                  <c:v>157</c:v>
                </c:pt>
                <c:pt idx="22">
                  <c:v>87</c:v>
                </c:pt>
                <c:pt idx="23">
                  <c:v>17</c:v>
                </c:pt>
                <c:pt idx="24">
                  <c:v>7</c:v>
                </c:pt>
                <c:pt idx="25">
                  <c:v>34</c:v>
                </c:pt>
                <c:pt idx="26">
                  <c:v>36</c:v>
                </c:pt>
                <c:pt idx="27">
                  <c:v>36</c:v>
                </c:pt>
                <c:pt idx="28">
                  <c:v>8</c:v>
                </c:pt>
                <c:pt idx="2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DF-478C-AB2F-86BE45BFBEAA}"/>
            </c:ext>
          </c:extLst>
        </c:ser>
        <c:ser>
          <c:idx val="2"/>
          <c:order val="2"/>
          <c:tx>
            <c:strRef>
              <c:f>'4-1專案排程-甘特圖-new'!$AG$1</c:f>
              <c:strCache>
                <c:ptCount val="1"/>
                <c:pt idx="0">
                  <c:v>間隔天數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'4-1專案排程-甘特圖-new'!$AB$2:$AB$31</c:f>
              <c:strCache>
                <c:ptCount val="29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競賽參與-1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</c:strCache>
            </c:strRef>
          </c:cat>
          <c:val>
            <c:numRef>
              <c:f>'4-1專案排程-甘特圖-new'!$AG$2:$AG$31</c:f>
              <c:numCache>
                <c:formatCode>General</c:formatCode>
                <c:ptCount val="30"/>
                <c:pt idx="23">
                  <c:v>82</c:v>
                </c:pt>
                <c:pt idx="24">
                  <c:v>81</c:v>
                </c:pt>
                <c:pt idx="25">
                  <c:v>81</c:v>
                </c:pt>
                <c:pt idx="26">
                  <c:v>117</c:v>
                </c:pt>
                <c:pt idx="27">
                  <c:v>117</c:v>
                </c:pt>
                <c:pt idx="28">
                  <c:v>130</c:v>
                </c:pt>
                <c:pt idx="2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DF-478C-AB2F-86BE45BFBEAA}"/>
            </c:ext>
          </c:extLst>
        </c:ser>
        <c:ser>
          <c:idx val="3"/>
          <c:order val="3"/>
          <c:tx>
            <c:strRef>
              <c:f>'4-1專案排程-甘特圖-new'!$AH$1</c:f>
              <c:strCache>
                <c:ptCount val="1"/>
                <c:pt idx="0">
                  <c:v>持續天數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'4-1專案排程-甘特圖-new'!$AB$2:$AB$31</c:f>
              <c:strCache>
                <c:ptCount val="29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競賽參與-1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</c:strCache>
            </c:strRef>
          </c:cat>
          <c:val>
            <c:numRef>
              <c:f>'4-1專案排程-甘特圖-new'!$AH$2:$AH$31</c:f>
              <c:numCache>
                <c:formatCode>General</c:formatCode>
                <c:ptCount val="30"/>
                <c:pt idx="23">
                  <c:v>32</c:v>
                </c:pt>
                <c:pt idx="24">
                  <c:v>34</c:v>
                </c:pt>
                <c:pt idx="25">
                  <c:v>34</c:v>
                </c:pt>
                <c:pt idx="26">
                  <c:v>17</c:v>
                </c:pt>
                <c:pt idx="27">
                  <c:v>17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DF-478C-AB2F-86BE45BFB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8381663"/>
        <c:axId val="508390815"/>
      </c:barChart>
      <c:catAx>
        <c:axId val="5083816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8390815"/>
        <c:crosses val="autoZero"/>
        <c:auto val="1"/>
        <c:lblAlgn val="ctr"/>
        <c:lblOffset val="100"/>
        <c:noMultiLvlLbl val="0"/>
      </c:catAx>
      <c:valAx>
        <c:axId val="508390815"/>
        <c:scaling>
          <c:orientation val="minMax"/>
          <c:max val="45980"/>
          <c:min val="4559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8381663"/>
        <c:crosses val="autoZero"/>
        <c:crossBetween val="between"/>
        <c:majorUnit val="31"/>
        <c:minorUnit val="25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2"/>
          <c:order val="0"/>
          <c:tx>
            <c:v>項目</c:v>
          </c:tx>
          <c:spPr>
            <a:noFill/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'4-1專案排程-甘特圖-new'!$C$3:$C$40</c:f>
              <c:numCache>
                <c:formatCode>m/d/yyyy</c:formatCode>
                <c:ptCount val="38"/>
                <c:pt idx="0">
                  <c:v>45597</c:v>
                </c:pt>
                <c:pt idx="2">
                  <c:v>45597</c:v>
                </c:pt>
                <c:pt idx="4">
                  <c:v>45658</c:v>
                </c:pt>
                <c:pt idx="6">
                  <c:v>45708</c:v>
                </c:pt>
                <c:pt idx="8">
                  <c:v>45726</c:v>
                </c:pt>
                <c:pt idx="10">
                  <c:v>45687</c:v>
                </c:pt>
                <c:pt idx="12">
                  <c:v>45730</c:v>
                </c:pt>
                <c:pt idx="14">
                  <c:v>45733</c:v>
                </c:pt>
                <c:pt idx="16">
                  <c:v>45733</c:v>
                </c:pt>
                <c:pt idx="18">
                  <c:v>45748</c:v>
                </c:pt>
                <c:pt idx="20">
                  <c:v>45748</c:v>
                </c:pt>
                <c:pt idx="22">
                  <c:v>45786</c:v>
                </c:pt>
                <c:pt idx="24">
                  <c:v>45802</c:v>
                </c:pt>
                <c:pt idx="26">
                  <c:v>45765</c:v>
                </c:pt>
                <c:pt idx="28">
                  <c:v>45797</c:v>
                </c:pt>
                <c:pt idx="30">
                  <c:v>45948</c:v>
                </c:pt>
                <c:pt idx="32">
                  <c:v>45960</c:v>
                </c:pt>
                <c:pt idx="34">
                  <c:v>45839</c:v>
                </c:pt>
                <c:pt idx="36">
                  <c:v>45870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7-4705-9778-2A4DACE048DA}"/>
            </c:ext>
          </c:extLst>
        </c:ser>
        <c:ser>
          <c:idx val="3"/>
          <c:order val="1"/>
          <c:tx>
            <c:v>預計排程</c:v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'4-1專案排程-甘特圖-new'!$E$3:$E$40</c:f>
              <c:numCache>
                <c:formatCode>General</c:formatCode>
                <c:ptCount val="38"/>
                <c:pt idx="0">
                  <c:v>272</c:v>
                </c:pt>
                <c:pt idx="2">
                  <c:v>120</c:v>
                </c:pt>
                <c:pt idx="4">
                  <c:v>91</c:v>
                </c:pt>
                <c:pt idx="6">
                  <c:v>55</c:v>
                </c:pt>
                <c:pt idx="8">
                  <c:v>144</c:v>
                </c:pt>
                <c:pt idx="10">
                  <c:v>213</c:v>
                </c:pt>
                <c:pt idx="12">
                  <c:v>140</c:v>
                </c:pt>
                <c:pt idx="14">
                  <c:v>168</c:v>
                </c:pt>
                <c:pt idx="16">
                  <c:v>168</c:v>
                </c:pt>
                <c:pt idx="18">
                  <c:v>153</c:v>
                </c:pt>
                <c:pt idx="20">
                  <c:v>153</c:v>
                </c:pt>
                <c:pt idx="22">
                  <c:v>17</c:v>
                </c:pt>
                <c:pt idx="24">
                  <c:v>7</c:v>
                </c:pt>
                <c:pt idx="26">
                  <c:v>36</c:v>
                </c:pt>
                <c:pt idx="28">
                  <c:v>8</c:v>
                </c:pt>
                <c:pt idx="30">
                  <c:v>50</c:v>
                </c:pt>
                <c:pt idx="32">
                  <c:v>58</c:v>
                </c:pt>
                <c:pt idx="34">
                  <c:v>115</c:v>
                </c:pt>
                <c:pt idx="36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7-4705-9778-2A4DACE048DA}"/>
            </c:ext>
          </c:extLst>
        </c:ser>
        <c:ser>
          <c:idx val="4"/>
          <c:order val="2"/>
          <c:tx>
            <c:v>實際進度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'4-1專案排程-甘特圖-new'!$J$3:$J$40</c:f>
              <c:numCache>
                <c:formatCode>m/d/yyyy</c:formatCode>
                <c:ptCount val="38"/>
                <c:pt idx="1">
                  <c:v>45597</c:v>
                </c:pt>
                <c:pt idx="3">
                  <c:v>45597</c:v>
                </c:pt>
                <c:pt idx="5">
                  <c:v>45658</c:v>
                </c:pt>
                <c:pt idx="7">
                  <c:v>45708</c:v>
                </c:pt>
                <c:pt idx="9">
                  <c:v>45717</c:v>
                </c:pt>
                <c:pt idx="11">
                  <c:v>45687</c:v>
                </c:pt>
                <c:pt idx="13">
                  <c:v>45730</c:v>
                </c:pt>
                <c:pt idx="15">
                  <c:v>45733</c:v>
                </c:pt>
                <c:pt idx="17">
                  <c:v>45733</c:v>
                </c:pt>
                <c:pt idx="19">
                  <c:v>45748</c:v>
                </c:pt>
                <c:pt idx="21">
                  <c:v>45748</c:v>
                </c:pt>
                <c:pt idx="23">
                  <c:v>45786</c:v>
                </c:pt>
                <c:pt idx="25">
                  <c:v>45802</c:v>
                </c:pt>
                <c:pt idx="27">
                  <c:v>45765</c:v>
                </c:pt>
                <c:pt idx="29">
                  <c:v>45797</c:v>
                </c:pt>
                <c:pt idx="31">
                  <c:v>45948</c:v>
                </c:pt>
                <c:pt idx="33">
                  <c:v>45960</c:v>
                </c:pt>
                <c:pt idx="35">
                  <c:v>45839</c:v>
                </c:pt>
                <c:pt idx="37">
                  <c:v>45870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D7-4705-9778-2A4DACE048DA}"/>
            </c:ext>
          </c:extLst>
        </c:ser>
        <c:ser>
          <c:idx val="1"/>
          <c:order val="3"/>
          <c:tx>
            <c:v>實際排程</c:v>
          </c:tx>
          <c:spPr>
            <a:solidFill>
              <a:srgbClr val="F19B61"/>
            </a:solidFill>
            <a:ln>
              <a:noFill/>
            </a:ln>
            <a:effectLst/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'4-1專案排程-甘特圖-new'!$L$3:$L$40</c:f>
              <c:numCache>
                <c:formatCode>General</c:formatCode>
                <c:ptCount val="38"/>
                <c:pt idx="1">
                  <c:v>272</c:v>
                </c:pt>
                <c:pt idx="3">
                  <c:v>61</c:v>
                </c:pt>
                <c:pt idx="5">
                  <c:v>60</c:v>
                </c:pt>
                <c:pt idx="7">
                  <c:v>41</c:v>
                </c:pt>
                <c:pt idx="9">
                  <c:v>185</c:v>
                </c:pt>
                <c:pt idx="11">
                  <c:v>222</c:v>
                </c:pt>
                <c:pt idx="13">
                  <c:v>154</c:v>
                </c:pt>
                <c:pt idx="15">
                  <c:v>152</c:v>
                </c:pt>
                <c:pt idx="17">
                  <c:v>172</c:v>
                </c:pt>
                <c:pt idx="19">
                  <c:v>157</c:v>
                </c:pt>
                <c:pt idx="21">
                  <c:v>157</c:v>
                </c:pt>
                <c:pt idx="23">
                  <c:v>17</c:v>
                </c:pt>
                <c:pt idx="25">
                  <c:v>7</c:v>
                </c:pt>
                <c:pt idx="27">
                  <c:v>36</c:v>
                </c:pt>
                <c:pt idx="29">
                  <c:v>8</c:v>
                </c:pt>
                <c:pt idx="31">
                  <c:v>50</c:v>
                </c:pt>
                <c:pt idx="33">
                  <c:v>58</c:v>
                </c:pt>
                <c:pt idx="35">
                  <c:v>115</c:v>
                </c:pt>
                <c:pt idx="37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D7-4705-9778-2A4DACE048DA}"/>
            </c:ext>
          </c:extLst>
        </c:ser>
        <c:ser>
          <c:idx val="0"/>
          <c:order val="4"/>
          <c:tx>
            <c:v>間隔天數</c:v>
          </c:tx>
          <c:spPr>
            <a:noFill/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'4-1專案排程-甘特圖-new'!$F$3:$F$31</c:f>
              <c:numCache>
                <c:formatCode>General</c:formatCode>
                <c:ptCount val="29"/>
                <c:pt idx="22">
                  <c:v>82</c:v>
                </c:pt>
                <c:pt idx="24">
                  <c:v>81</c:v>
                </c:pt>
                <c:pt idx="26">
                  <c:v>117</c:v>
                </c:pt>
                <c:pt idx="2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ED7-4705-9778-2A4DACE048DA}"/>
            </c:ext>
          </c:extLst>
        </c:ser>
        <c:ser>
          <c:idx val="5"/>
          <c:order val="5"/>
          <c:tx>
            <c:v>再次進行</c:v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'4-1專案排程-甘特圖-new'!$I$3:$I$31</c:f>
              <c:numCache>
                <c:formatCode>General</c:formatCode>
                <c:ptCount val="29"/>
                <c:pt idx="22">
                  <c:v>32</c:v>
                </c:pt>
                <c:pt idx="24">
                  <c:v>34</c:v>
                </c:pt>
                <c:pt idx="26">
                  <c:v>17</c:v>
                </c:pt>
                <c:pt idx="2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D7-4705-9778-2A4DACE048DA}"/>
            </c:ext>
          </c:extLst>
        </c:ser>
        <c:ser>
          <c:idx val="6"/>
          <c:order val="6"/>
          <c:tx>
            <c:v>間隔天數-實際</c:v>
          </c:tx>
          <c:spPr>
            <a:noFill/>
          </c:spPr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'4-1專案排程-甘特圖-new'!$M$3:$M$32</c:f>
              <c:numCache>
                <c:formatCode>General</c:formatCode>
                <c:ptCount val="30"/>
                <c:pt idx="23">
                  <c:v>82</c:v>
                </c:pt>
                <c:pt idx="25">
                  <c:v>81</c:v>
                </c:pt>
                <c:pt idx="27">
                  <c:v>117</c:v>
                </c:pt>
                <c:pt idx="2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ED7-4705-9778-2A4DACE048DA}"/>
            </c:ext>
          </c:extLst>
        </c:ser>
        <c:ser>
          <c:idx val="7"/>
          <c:order val="7"/>
          <c:tx>
            <c:v>再次進行-實際</c:v>
          </c:tx>
          <c:invertIfNegative val="0"/>
          <c:cat>
            <c:strRef>
              <c:f>'4-1專案排程-甘特圖-new'!$A$3:$A$40</c:f>
              <c:strCache>
                <c:ptCount val="3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模型訓練</c:v>
                </c:pt>
                <c:pt idx="12">
                  <c:v>資料庫建置</c:v>
                </c:pt>
                <c:pt idx="14">
                  <c:v>API設計</c:v>
                </c:pt>
                <c:pt idx="16">
                  <c:v>前端開發</c:v>
                </c:pt>
                <c:pt idx="18">
                  <c:v>後端開發</c:v>
                </c:pt>
                <c:pt idx="20">
                  <c:v>伺服器架設</c:v>
                </c:pt>
                <c:pt idx="22">
                  <c:v>系統整合</c:v>
                </c:pt>
                <c:pt idx="24">
                  <c:v>系統測試</c:v>
                </c:pt>
                <c:pt idx="26">
                  <c:v>文件製作</c:v>
                </c:pt>
                <c:pt idx="28">
                  <c:v>簡報製作</c:v>
                </c:pt>
                <c:pt idx="30">
                  <c:v>策展籌備</c:v>
                </c:pt>
                <c:pt idx="32">
                  <c:v>最終文件製作</c:v>
                </c:pt>
                <c:pt idx="34">
                  <c:v>競賽參與-1</c:v>
                </c:pt>
                <c:pt idx="36">
                  <c:v>競賽參與-2</c:v>
                </c:pt>
              </c:strCache>
            </c:strRef>
          </c:cat>
          <c:val>
            <c:numRef>
              <c:f>'4-1專案排程-甘特圖-new'!$P$3:$P$32</c:f>
              <c:numCache>
                <c:formatCode>General</c:formatCode>
                <c:ptCount val="30"/>
                <c:pt idx="23">
                  <c:v>32</c:v>
                </c:pt>
                <c:pt idx="25">
                  <c:v>34</c:v>
                </c:pt>
                <c:pt idx="27">
                  <c:v>17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D7-4705-9778-2A4DACE04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66546607"/>
        <c:axId val="1066545775"/>
      </c:barChart>
      <c:catAx>
        <c:axId val="10665466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2000"/>
            </a:pPr>
            <a:endParaRPr lang="zh-TW"/>
          </a:p>
        </c:txPr>
        <c:crossAx val="1066545775"/>
        <c:crosses val="autoZero"/>
        <c:auto val="1"/>
        <c:lblAlgn val="ctr"/>
        <c:lblOffset val="100"/>
        <c:noMultiLvlLbl val="0"/>
      </c:catAx>
      <c:valAx>
        <c:axId val="1066545775"/>
        <c:scaling>
          <c:orientation val="minMax"/>
          <c:max val="46029"/>
          <c:min val="4559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2000"/>
            </a:pPr>
            <a:endParaRPr lang="zh-TW"/>
          </a:p>
        </c:txPr>
        <c:crossAx val="1066546607"/>
        <c:crosses val="autoZero"/>
        <c:crossBetween val="between"/>
        <c:majorUnit val="30"/>
        <c:minorUnit val="25"/>
      </c:valAx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txPr>
        <a:bodyPr/>
        <a:lstStyle/>
        <a:p>
          <a:pPr>
            <a:defRPr sz="2000"/>
          </a:pPr>
          <a:endParaRPr lang="zh-TW"/>
        </a:p>
      </c:txPr>
    </c:legend>
    <c:plotVisOnly val="1"/>
    <c:dispBlanksAs val="gap"/>
    <c:showDLblsOverMax val="0"/>
    <c:extLst/>
  </c:chart>
  <c:spPr>
    <a:ln w="12700">
      <a:noFill/>
    </a:ln>
  </c:spPr>
  <c:txPr>
    <a:bodyPr/>
    <a:lstStyle/>
    <a:p>
      <a:pPr>
        <a:defRPr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2"/>
          <c:order val="0"/>
          <c:tx>
            <c:v>項目</c:v>
          </c:tx>
          <c:spPr>
            <a:noFill/>
          </c:spPr>
          <c:invertIfNegative val="0"/>
          <c:cat>
            <c:strRef>
              <c:f>'4-1專案排程-甘特圖'!$A$3:$A$29</c:f>
              <c:strCache>
                <c:ptCount val="2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資料庫建置</c:v>
                </c:pt>
                <c:pt idx="12">
                  <c:v>API設計</c:v>
                </c:pt>
                <c:pt idx="14">
                  <c:v>前端開發</c:v>
                </c:pt>
                <c:pt idx="16">
                  <c:v>後端開發</c:v>
                </c:pt>
                <c:pt idx="18">
                  <c:v>伺服器架設</c:v>
                </c:pt>
                <c:pt idx="20">
                  <c:v>系統整合</c:v>
                </c:pt>
                <c:pt idx="22">
                  <c:v>系統測試</c:v>
                </c:pt>
                <c:pt idx="24">
                  <c:v>文件製作</c:v>
                </c:pt>
                <c:pt idx="26">
                  <c:v>簡報製作</c:v>
                </c:pt>
              </c:strCache>
            </c:strRef>
          </c:cat>
          <c:val>
            <c:numRef>
              <c:f>'4-1專案排程-甘特圖'!$B$3:$B$29</c:f>
              <c:numCache>
                <c:formatCode>m/d/yyyy</c:formatCode>
                <c:ptCount val="27"/>
                <c:pt idx="0">
                  <c:v>45597</c:v>
                </c:pt>
                <c:pt idx="2">
                  <c:v>45597</c:v>
                </c:pt>
                <c:pt idx="4">
                  <c:v>45658</c:v>
                </c:pt>
                <c:pt idx="6">
                  <c:v>45708</c:v>
                </c:pt>
                <c:pt idx="8">
                  <c:v>45726</c:v>
                </c:pt>
                <c:pt idx="10">
                  <c:v>45730</c:v>
                </c:pt>
                <c:pt idx="12">
                  <c:v>45733</c:v>
                </c:pt>
                <c:pt idx="14">
                  <c:v>45733</c:v>
                </c:pt>
                <c:pt idx="16">
                  <c:v>45748</c:v>
                </c:pt>
                <c:pt idx="18">
                  <c:v>45748</c:v>
                </c:pt>
                <c:pt idx="20">
                  <c:v>45786</c:v>
                </c:pt>
                <c:pt idx="22">
                  <c:v>45802</c:v>
                </c:pt>
                <c:pt idx="24">
                  <c:v>45765</c:v>
                </c:pt>
                <c:pt idx="26">
                  <c:v>45797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B24B-4F6D-B794-1865D1CE6474}"/>
            </c:ext>
          </c:extLst>
        </c:ser>
        <c:ser>
          <c:idx val="3"/>
          <c:order val="1"/>
          <c:tx>
            <c:v>預計排程</c:v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strRef>
              <c:f>'4-1專案排程-甘特圖'!$A$3:$A$29</c:f>
              <c:strCache>
                <c:ptCount val="2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資料庫建置</c:v>
                </c:pt>
                <c:pt idx="12">
                  <c:v>API設計</c:v>
                </c:pt>
                <c:pt idx="14">
                  <c:v>前端開發</c:v>
                </c:pt>
                <c:pt idx="16">
                  <c:v>後端開發</c:v>
                </c:pt>
                <c:pt idx="18">
                  <c:v>伺服器架設</c:v>
                </c:pt>
                <c:pt idx="20">
                  <c:v>系統整合</c:v>
                </c:pt>
                <c:pt idx="22">
                  <c:v>系統測試</c:v>
                </c:pt>
                <c:pt idx="24">
                  <c:v>文件製作</c:v>
                </c:pt>
                <c:pt idx="26">
                  <c:v>簡報製作</c:v>
                </c:pt>
              </c:strCache>
            </c:strRef>
          </c:cat>
          <c:val>
            <c:numRef>
              <c:f>'4-1專案排程-甘特圖'!$D$3:$D$29</c:f>
              <c:numCache>
                <c:formatCode>General</c:formatCode>
                <c:ptCount val="27"/>
                <c:pt idx="0">
                  <c:v>272</c:v>
                </c:pt>
                <c:pt idx="2">
                  <c:v>120</c:v>
                </c:pt>
                <c:pt idx="4">
                  <c:v>91</c:v>
                </c:pt>
                <c:pt idx="6">
                  <c:v>55</c:v>
                </c:pt>
                <c:pt idx="8">
                  <c:v>144</c:v>
                </c:pt>
                <c:pt idx="10">
                  <c:v>140</c:v>
                </c:pt>
                <c:pt idx="12">
                  <c:v>168</c:v>
                </c:pt>
                <c:pt idx="14">
                  <c:v>168</c:v>
                </c:pt>
                <c:pt idx="16">
                  <c:v>153</c:v>
                </c:pt>
                <c:pt idx="18">
                  <c:v>153</c:v>
                </c:pt>
                <c:pt idx="20">
                  <c:v>17</c:v>
                </c:pt>
                <c:pt idx="22">
                  <c:v>7</c:v>
                </c:pt>
                <c:pt idx="24">
                  <c:v>36</c:v>
                </c:pt>
                <c:pt idx="2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B24B-4F6D-B794-1865D1CE6474}"/>
            </c:ext>
          </c:extLst>
        </c:ser>
        <c:ser>
          <c:idx val="4"/>
          <c:order val="2"/>
          <c:tx>
            <c:v>實際進度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'4-1專案排程-甘特圖'!$A$3:$A$29</c:f>
              <c:strCache>
                <c:ptCount val="27"/>
                <c:pt idx="0">
                  <c:v>技術學習</c:v>
                </c:pt>
                <c:pt idx="2">
                  <c:v>題目發想</c:v>
                </c:pt>
                <c:pt idx="4">
                  <c:v>功能分析</c:v>
                </c:pt>
                <c:pt idx="6">
                  <c:v>系統需求分析</c:v>
                </c:pt>
                <c:pt idx="8">
                  <c:v>UI/UX設計</c:v>
                </c:pt>
                <c:pt idx="10">
                  <c:v>資料庫建置</c:v>
                </c:pt>
                <c:pt idx="12">
                  <c:v>API設計</c:v>
                </c:pt>
                <c:pt idx="14">
                  <c:v>前端開發</c:v>
                </c:pt>
                <c:pt idx="16">
                  <c:v>後端開發</c:v>
                </c:pt>
                <c:pt idx="18">
                  <c:v>伺服器架設</c:v>
                </c:pt>
                <c:pt idx="20">
                  <c:v>系統整合</c:v>
                </c:pt>
                <c:pt idx="22">
                  <c:v>系統測試</c:v>
                </c:pt>
                <c:pt idx="24">
                  <c:v>文件製作</c:v>
                </c:pt>
                <c:pt idx="26">
                  <c:v>簡報製作</c:v>
                </c:pt>
              </c:strCache>
            </c:strRef>
          </c:cat>
          <c:val>
            <c:numRef>
              <c:f>'4-1專案排程-甘特圖'!$H$3:$H$30</c:f>
              <c:numCache>
                <c:formatCode>m/d/yyyy</c:formatCode>
                <c:ptCount val="28"/>
                <c:pt idx="1">
                  <c:v>45597</c:v>
                </c:pt>
                <c:pt idx="3">
                  <c:v>45597</c:v>
                </c:pt>
                <c:pt idx="5">
                  <c:v>45658</c:v>
                </c:pt>
                <c:pt idx="7">
                  <c:v>45708</c:v>
                </c:pt>
                <c:pt idx="9">
                  <c:v>45717</c:v>
                </c:pt>
                <c:pt idx="11">
                  <c:v>45730</c:v>
                </c:pt>
                <c:pt idx="13">
                  <c:v>45733</c:v>
                </c:pt>
                <c:pt idx="15">
                  <c:v>45733</c:v>
                </c:pt>
                <c:pt idx="17">
                  <c:v>45748</c:v>
                </c:pt>
                <c:pt idx="19">
                  <c:v>45748</c:v>
                </c:pt>
                <c:pt idx="21">
                  <c:v>45786</c:v>
                </c:pt>
                <c:pt idx="23">
                  <c:v>45802</c:v>
                </c:pt>
                <c:pt idx="25">
                  <c:v>45765</c:v>
                </c:pt>
                <c:pt idx="27">
                  <c:v>45797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B24B-4F6D-B794-1865D1CE6474}"/>
            </c:ext>
          </c:extLst>
        </c:ser>
        <c:ser>
          <c:idx val="1"/>
          <c:order val="3"/>
          <c:tx>
            <c:v>實際排程</c:v>
          </c:tx>
          <c:spPr>
            <a:solidFill>
              <a:srgbClr val="F19B61"/>
            </a:solidFill>
            <a:ln>
              <a:noFill/>
            </a:ln>
            <a:effectLst/>
          </c:spPr>
          <c:invertIfNegative val="0"/>
          <c:val>
            <c:numRef>
              <c:f>'4-1專案排程-甘特圖'!$J$3:$J$30</c:f>
              <c:numCache>
                <c:formatCode>General</c:formatCode>
                <c:ptCount val="28"/>
                <c:pt idx="1">
                  <c:v>212</c:v>
                </c:pt>
                <c:pt idx="3">
                  <c:v>61</c:v>
                </c:pt>
                <c:pt idx="5">
                  <c:v>60</c:v>
                </c:pt>
                <c:pt idx="7">
                  <c:v>41</c:v>
                </c:pt>
                <c:pt idx="9">
                  <c:v>92</c:v>
                </c:pt>
                <c:pt idx="11">
                  <c:v>79</c:v>
                </c:pt>
                <c:pt idx="13">
                  <c:v>76</c:v>
                </c:pt>
                <c:pt idx="15">
                  <c:v>76</c:v>
                </c:pt>
                <c:pt idx="17">
                  <c:v>61</c:v>
                </c:pt>
                <c:pt idx="19">
                  <c:v>61</c:v>
                </c:pt>
                <c:pt idx="21">
                  <c:v>17</c:v>
                </c:pt>
                <c:pt idx="23">
                  <c:v>7</c:v>
                </c:pt>
                <c:pt idx="25">
                  <c:v>36</c:v>
                </c:pt>
                <c:pt idx="2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B24B-4F6D-B794-1865D1CE6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66546607"/>
        <c:axId val="1066545775"/>
      </c:barChart>
      <c:catAx>
        <c:axId val="10665466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zh-TW"/>
          </a:p>
        </c:txPr>
        <c:crossAx val="1066545775"/>
        <c:crosses val="autoZero"/>
        <c:auto val="1"/>
        <c:lblAlgn val="ctr"/>
        <c:lblOffset val="100"/>
        <c:noMultiLvlLbl val="0"/>
      </c:catAx>
      <c:valAx>
        <c:axId val="1066545775"/>
        <c:scaling>
          <c:orientation val="minMax"/>
          <c:max val="45915"/>
          <c:min val="4559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zh-TW"/>
          </a:p>
        </c:txPr>
        <c:crossAx val="1066546607"/>
        <c:crosses val="autoZero"/>
        <c:crossBetween val="between"/>
        <c:majorUnit val="31"/>
        <c:minorUnit val="25"/>
      </c:valAx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txPr>
        <a:bodyPr/>
        <a:lstStyle/>
        <a:p>
          <a:pPr>
            <a:defRPr sz="1200"/>
          </a:pPr>
          <a:endParaRPr lang="zh-TW"/>
        </a:p>
      </c:txPr>
    </c:legend>
    <c:plotVisOnly val="1"/>
    <c:dispBlanksAs val="gap"/>
    <c:showDLblsOverMax val="0"/>
    <c:extLst/>
  </c:chart>
  <c:spPr>
    <a:ln w="12700">
      <a:noFill/>
    </a:ln>
  </c:spPr>
  <c:txPr>
    <a:bodyPr/>
    <a:lstStyle/>
    <a:p>
      <a:pPr>
        <a:defRPr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809546</xdr:colOff>
      <xdr:row>44</xdr:row>
      <xdr:rowOff>55418</xdr:rowOff>
    </xdr:from>
    <xdr:to>
      <xdr:col>25</xdr:col>
      <xdr:colOff>457200</xdr:colOff>
      <xdr:row>85</xdr:row>
      <xdr:rowOff>166254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EF0212-3585-4BD9-B33E-10D1F6D05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196073</xdr:colOff>
      <xdr:row>4</xdr:row>
      <xdr:rowOff>41565</xdr:rowOff>
    </xdr:from>
    <xdr:to>
      <xdr:col>25</xdr:col>
      <xdr:colOff>633997</xdr:colOff>
      <xdr:row>11</xdr:row>
      <xdr:rowOff>69273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05E375F-21BB-454F-8ADD-F7D2E5C91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424542</xdr:colOff>
      <xdr:row>44</xdr:row>
      <xdr:rowOff>10885</xdr:rowOff>
    </xdr:from>
    <xdr:to>
      <xdr:col>44</xdr:col>
      <xdr:colOff>247650</xdr:colOff>
      <xdr:row>75</xdr:row>
      <xdr:rowOff>76200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BDAC86E-B27B-4489-9C31-114F71B64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695246</xdr:colOff>
      <xdr:row>88</xdr:row>
      <xdr:rowOff>150668</xdr:rowOff>
    </xdr:from>
    <xdr:to>
      <xdr:col>25</xdr:col>
      <xdr:colOff>285750</xdr:colOff>
      <xdr:row>141</xdr:row>
      <xdr:rowOff>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E487DBF5-3463-468B-8C0C-B03C333BF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82926</xdr:colOff>
      <xdr:row>1</xdr:row>
      <xdr:rowOff>100406</xdr:rowOff>
    </xdr:from>
    <xdr:to>
      <xdr:col>33</xdr:col>
      <xdr:colOff>166254</xdr:colOff>
      <xdr:row>26</xdr:row>
      <xdr:rowOff>152401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6EE5E44-5EA9-4FEA-A865-A7757D644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5B69-7053-4CFE-9E8F-903D6D79EF3B}">
  <dimension ref="A1:AI40"/>
  <sheetViews>
    <sheetView tabSelected="1" topLeftCell="A87" zoomScale="40" zoomScaleNormal="40" workbookViewId="0">
      <selection activeCell="N36" sqref="N36"/>
    </sheetView>
  </sheetViews>
  <sheetFormatPr defaultRowHeight="16.2" x14ac:dyDescent="0.3"/>
  <cols>
    <col min="1" max="1" width="16.77734375" bestFit="1" customWidth="1"/>
    <col min="2" max="4" width="11.5546875" bestFit="1" customWidth="1"/>
    <col min="5" max="5" width="7.109375" bestFit="1" customWidth="1"/>
    <col min="6" max="6" width="10.77734375" bestFit="1" customWidth="1"/>
    <col min="7" max="8" width="11.5546875" bestFit="1" customWidth="1"/>
    <col min="9" max="9" width="7.109375" bestFit="1" customWidth="1"/>
    <col min="10" max="10" width="11.5546875" bestFit="1" customWidth="1"/>
    <col min="11" max="11" width="12.6640625" bestFit="1" customWidth="1"/>
    <col min="12" max="12" width="7.109375" bestFit="1" customWidth="1"/>
    <col min="13" max="13" width="16.44140625" bestFit="1" customWidth="1"/>
    <col min="14" max="15" width="11.5546875" bestFit="1" customWidth="1"/>
    <col min="16" max="16" width="7.109375" bestFit="1" customWidth="1"/>
    <col min="17" max="18" width="5.77734375" bestFit="1" customWidth="1"/>
    <col min="19" max="20" width="5.109375" customWidth="1"/>
    <col min="22" max="22" width="16.77734375" bestFit="1" customWidth="1"/>
    <col min="23" max="26" width="11.5546875" bestFit="1" customWidth="1"/>
    <col min="28" max="28" width="16.44140625" bestFit="1" customWidth="1"/>
    <col min="29" max="30" width="11.21875" bestFit="1" customWidth="1"/>
    <col min="31" max="32" width="11.21875" customWidth="1"/>
    <col min="33" max="34" width="11.21875" bestFit="1" customWidth="1"/>
  </cols>
  <sheetData>
    <row r="1" spans="1:35" x14ac:dyDescent="0.3">
      <c r="C1" s="48" t="s">
        <v>40</v>
      </c>
      <c r="D1" s="48"/>
      <c r="E1" s="48"/>
      <c r="F1" s="47" t="s">
        <v>44</v>
      </c>
      <c r="G1" s="48" t="s">
        <v>43</v>
      </c>
      <c r="H1" s="48"/>
      <c r="I1" s="48"/>
      <c r="J1" s="48" t="s">
        <v>41</v>
      </c>
      <c r="K1" s="48"/>
      <c r="L1" s="48"/>
      <c r="M1" s="47" t="s">
        <v>49</v>
      </c>
      <c r="N1" s="48" t="s">
        <v>42</v>
      </c>
      <c r="O1" s="48"/>
      <c r="P1" s="48"/>
      <c r="W1" t="s">
        <v>44</v>
      </c>
      <c r="X1" t="s">
        <v>45</v>
      </c>
      <c r="Y1" t="s">
        <v>44</v>
      </c>
      <c r="Z1" t="s">
        <v>45</v>
      </c>
      <c r="AC1" t="s">
        <v>44</v>
      </c>
      <c r="AD1" t="s">
        <v>45</v>
      </c>
      <c r="AE1" t="s">
        <v>47</v>
      </c>
      <c r="AF1" t="s">
        <v>48</v>
      </c>
      <c r="AG1" t="s">
        <v>44</v>
      </c>
      <c r="AH1" t="s">
        <v>45</v>
      </c>
    </row>
    <row r="2" spans="1:35" s="47" customFormat="1" x14ac:dyDescent="0.3">
      <c r="C2" s="47" t="s">
        <v>37</v>
      </c>
      <c r="D2" s="47" t="s">
        <v>38</v>
      </c>
      <c r="E2" s="47" t="s">
        <v>39</v>
      </c>
      <c r="G2" s="47" t="s">
        <v>37</v>
      </c>
      <c r="H2" s="47" t="s">
        <v>38</v>
      </c>
      <c r="I2" s="47" t="s">
        <v>39</v>
      </c>
      <c r="J2" s="47" t="s">
        <v>37</v>
      </c>
      <c r="K2" s="47" t="s">
        <v>38</v>
      </c>
      <c r="L2" s="47" t="s">
        <v>39</v>
      </c>
      <c r="N2" s="47" t="s">
        <v>37</v>
      </c>
      <c r="O2" s="47" t="s">
        <v>38</v>
      </c>
      <c r="P2" s="47" t="s">
        <v>39</v>
      </c>
      <c r="V2" s="47" t="s">
        <v>46</v>
      </c>
      <c r="W2" s="47">
        <v>0</v>
      </c>
      <c r="X2" s="47">
        <v>87</v>
      </c>
      <c r="Y2" s="47">
        <f>G39-C37</f>
        <v>-45839</v>
      </c>
      <c r="Z2" s="47">
        <v>93</v>
      </c>
      <c r="AB2" t="str">
        <f>A3</f>
        <v>技術學習</v>
      </c>
      <c r="AC2">
        <f>C3-B3+45597</f>
        <v>45597</v>
      </c>
      <c r="AD2">
        <f>272</f>
        <v>272</v>
      </c>
      <c r="AE2"/>
      <c r="AF2"/>
      <c r="AH2"/>
      <c r="AI2"/>
    </row>
    <row r="3" spans="1:35" x14ac:dyDescent="0.3">
      <c r="A3" t="s">
        <v>13</v>
      </c>
      <c r="B3" s="33">
        <v>45597</v>
      </c>
      <c r="C3" s="33">
        <v>45597</v>
      </c>
      <c r="D3" s="33">
        <v>45868</v>
      </c>
      <c r="E3">
        <f>D3-C3+1</f>
        <v>272</v>
      </c>
      <c r="J3" s="33"/>
      <c r="K3" s="33"/>
      <c r="AE3">
        <f>J4-B3+45597</f>
        <v>45597</v>
      </c>
      <c r="AF3">
        <f>L4</f>
        <v>272</v>
      </c>
    </row>
    <row r="4" spans="1:35" x14ac:dyDescent="0.3">
      <c r="C4" s="33"/>
      <c r="D4" s="33"/>
      <c r="J4" s="33">
        <v>45597</v>
      </c>
      <c r="K4" s="33">
        <v>45868</v>
      </c>
      <c r="L4">
        <f>K4-J4+1</f>
        <v>272</v>
      </c>
      <c r="N4" s="33"/>
      <c r="O4" s="33"/>
      <c r="AB4" t="str">
        <f>A5</f>
        <v>題目發想</v>
      </c>
      <c r="AC4">
        <f>C5-B5+45597</f>
        <v>45597</v>
      </c>
      <c r="AD4">
        <f>120</f>
        <v>120</v>
      </c>
    </row>
    <row r="5" spans="1:35" x14ac:dyDescent="0.3">
      <c r="A5" t="s">
        <v>14</v>
      </c>
      <c r="B5" s="33">
        <v>45597</v>
      </c>
      <c r="C5" s="33">
        <v>45597</v>
      </c>
      <c r="D5" s="33">
        <v>45716</v>
      </c>
      <c r="E5">
        <f t="shared" ref="E5:E35" si="0">D5-C5+1</f>
        <v>120</v>
      </c>
      <c r="AC5">
        <f>J6-B5+45597</f>
        <v>45597</v>
      </c>
      <c r="AD5">
        <f>L6</f>
        <v>61</v>
      </c>
    </row>
    <row r="6" spans="1:35" x14ac:dyDescent="0.3">
      <c r="C6" s="33"/>
      <c r="D6" s="33"/>
      <c r="J6" s="33">
        <v>45597</v>
      </c>
      <c r="K6" s="33">
        <v>45657</v>
      </c>
      <c r="L6">
        <f>K6-J6+1</f>
        <v>61</v>
      </c>
      <c r="AB6" t="str">
        <f>A7</f>
        <v>功能分析</v>
      </c>
      <c r="AC6">
        <f>C7-B7+45597</f>
        <v>45658</v>
      </c>
      <c r="AD6">
        <f>91</f>
        <v>91</v>
      </c>
    </row>
    <row r="7" spans="1:35" x14ac:dyDescent="0.3">
      <c r="A7" s="37" t="s">
        <v>15</v>
      </c>
      <c r="B7" s="33">
        <v>45597</v>
      </c>
      <c r="C7" s="38">
        <v>45658</v>
      </c>
      <c r="D7" s="46">
        <v>45748</v>
      </c>
      <c r="E7" s="39">
        <f t="shared" si="0"/>
        <v>91</v>
      </c>
      <c r="F7" s="39"/>
      <c r="G7" s="39"/>
      <c r="H7" s="39"/>
      <c r="I7" s="39"/>
      <c r="J7" s="9"/>
      <c r="K7" s="9"/>
      <c r="L7" s="17"/>
      <c r="M7" s="2"/>
      <c r="AC7">
        <f>J8-B7+45597</f>
        <v>45658</v>
      </c>
      <c r="AD7">
        <f>L8</f>
        <v>60</v>
      </c>
    </row>
    <row r="8" spans="1:35" x14ac:dyDescent="0.3">
      <c r="A8" s="6"/>
      <c r="B8" s="2"/>
      <c r="C8" s="40"/>
      <c r="D8" s="40"/>
      <c r="E8" s="2"/>
      <c r="F8" s="2"/>
      <c r="G8" s="2"/>
      <c r="H8" s="2"/>
      <c r="I8" s="2"/>
      <c r="J8" s="40">
        <v>45658</v>
      </c>
      <c r="K8" s="40">
        <v>45717</v>
      </c>
      <c r="L8" s="5">
        <f>K8-J8+1</f>
        <v>60</v>
      </c>
      <c r="M8" s="2"/>
      <c r="AB8" t="str">
        <f>A9</f>
        <v>系統需求分析</v>
      </c>
      <c r="AC8">
        <f>C9-B9+45597</f>
        <v>45708</v>
      </c>
      <c r="AD8">
        <f>55</f>
        <v>55</v>
      </c>
    </row>
    <row r="9" spans="1:35" x14ac:dyDescent="0.3">
      <c r="A9" s="41" t="s">
        <v>17</v>
      </c>
      <c r="B9" s="33">
        <v>45597</v>
      </c>
      <c r="C9" s="42">
        <v>45708</v>
      </c>
      <c r="D9" s="45">
        <v>45762</v>
      </c>
      <c r="E9" s="43">
        <f t="shared" si="0"/>
        <v>55</v>
      </c>
      <c r="F9" s="43"/>
      <c r="G9" s="43"/>
      <c r="H9" s="43"/>
      <c r="I9" s="43"/>
      <c r="J9" s="2"/>
      <c r="K9" s="2"/>
      <c r="L9" s="5"/>
      <c r="M9" s="2"/>
      <c r="AC9">
        <f>J10-B9+45597</f>
        <v>45708</v>
      </c>
      <c r="AD9">
        <f>L10</f>
        <v>41</v>
      </c>
    </row>
    <row r="10" spans="1:35" x14ac:dyDescent="0.3">
      <c r="A10" s="22"/>
      <c r="B10" s="12"/>
      <c r="C10" s="44"/>
      <c r="D10" s="44"/>
      <c r="E10" s="12"/>
      <c r="F10" s="12"/>
      <c r="G10" s="12"/>
      <c r="H10" s="12"/>
      <c r="I10" s="12"/>
      <c r="J10" s="44">
        <v>45708</v>
      </c>
      <c r="K10" s="44">
        <v>45748</v>
      </c>
      <c r="L10" s="21">
        <f>K10-J10+1</f>
        <v>41</v>
      </c>
      <c r="M10" s="2"/>
      <c r="AB10" t="str">
        <f>A11</f>
        <v>UI/UX設計</v>
      </c>
      <c r="AC10">
        <f>C11-B11+45597</f>
        <v>45726</v>
      </c>
      <c r="AD10">
        <f>144</f>
        <v>144</v>
      </c>
    </row>
    <row r="11" spans="1:35" x14ac:dyDescent="0.3">
      <c r="A11" s="35" t="s">
        <v>20</v>
      </c>
      <c r="B11" s="33">
        <v>45597</v>
      </c>
      <c r="C11" s="36">
        <v>45726</v>
      </c>
      <c r="D11" s="36">
        <v>45869</v>
      </c>
      <c r="E11" s="35">
        <f>D11-C11+1</f>
        <v>144</v>
      </c>
      <c r="F11" s="35"/>
      <c r="G11" s="35"/>
      <c r="H11" s="35"/>
      <c r="I11" s="35"/>
      <c r="AC11">
        <f>J12-B11+45597</f>
        <v>45717</v>
      </c>
      <c r="AD11">
        <f>L12</f>
        <v>185</v>
      </c>
    </row>
    <row r="12" spans="1:35" x14ac:dyDescent="0.3">
      <c r="C12" s="33"/>
      <c r="D12" s="33"/>
      <c r="J12" s="33">
        <v>45717</v>
      </c>
      <c r="K12" s="33">
        <v>45901</v>
      </c>
      <c r="L12">
        <f>K12-J12+1</f>
        <v>185</v>
      </c>
      <c r="AB12" t="str">
        <f>A15</f>
        <v>資料庫建置</v>
      </c>
      <c r="AC12">
        <f>C15-B15+45597</f>
        <v>45730</v>
      </c>
      <c r="AD12">
        <f>140</f>
        <v>140</v>
      </c>
    </row>
    <row r="13" spans="1:35" x14ac:dyDescent="0.3">
      <c r="A13" t="s">
        <v>52</v>
      </c>
      <c r="B13" s="33">
        <v>45597</v>
      </c>
      <c r="C13" s="33">
        <v>45687</v>
      </c>
      <c r="D13" s="33">
        <v>45900</v>
      </c>
      <c r="E13">
        <f>D13-C13</f>
        <v>213</v>
      </c>
      <c r="J13" s="33"/>
      <c r="K13" s="33"/>
    </row>
    <row r="14" spans="1:35" x14ac:dyDescent="0.3">
      <c r="C14" s="33"/>
      <c r="D14" s="33"/>
      <c r="J14" s="33">
        <v>45687</v>
      </c>
      <c r="K14" s="33">
        <v>45909</v>
      </c>
      <c r="L14">
        <f>K14-J14</f>
        <v>222</v>
      </c>
    </row>
    <row r="15" spans="1:35" x14ac:dyDescent="0.3">
      <c r="A15" t="s">
        <v>19</v>
      </c>
      <c r="B15" s="33">
        <v>45597</v>
      </c>
      <c r="C15" s="33">
        <v>45730</v>
      </c>
      <c r="D15" s="33">
        <v>45869</v>
      </c>
      <c r="E15">
        <f>D15-C15+1</f>
        <v>140</v>
      </c>
      <c r="AC15">
        <f>J16-B15+45597</f>
        <v>45730</v>
      </c>
      <c r="AD15">
        <f>L16</f>
        <v>154</v>
      </c>
    </row>
    <row r="16" spans="1:35" x14ac:dyDescent="0.3">
      <c r="C16" s="33"/>
      <c r="D16" s="33"/>
      <c r="J16" s="33">
        <v>45730</v>
      </c>
      <c r="K16" s="33">
        <v>45883</v>
      </c>
      <c r="L16">
        <f>K16-J16+1</f>
        <v>154</v>
      </c>
      <c r="AB16" t="str">
        <f>A17</f>
        <v>API設計</v>
      </c>
      <c r="AC16">
        <f>C17-B17+45597</f>
        <v>45733</v>
      </c>
      <c r="AD16">
        <f>168</f>
        <v>168</v>
      </c>
    </row>
    <row r="17" spans="1:34" x14ac:dyDescent="0.3">
      <c r="A17" t="s">
        <v>22</v>
      </c>
      <c r="B17" s="33">
        <v>45597</v>
      </c>
      <c r="C17" s="33">
        <v>45733</v>
      </c>
      <c r="D17" s="33">
        <v>45900</v>
      </c>
      <c r="E17">
        <f t="shared" si="0"/>
        <v>168</v>
      </c>
      <c r="AC17">
        <f>J18-B17+45597</f>
        <v>45733</v>
      </c>
      <c r="AD17">
        <f>L18</f>
        <v>152</v>
      </c>
    </row>
    <row r="18" spans="1:34" x14ac:dyDescent="0.3">
      <c r="C18" s="33"/>
      <c r="D18" s="33"/>
      <c r="J18" s="33">
        <v>45733</v>
      </c>
      <c r="K18" s="33">
        <v>45884</v>
      </c>
      <c r="L18">
        <f>K18-J18+1</f>
        <v>152</v>
      </c>
      <c r="AB18" t="str">
        <f>A19</f>
        <v>前端開發</v>
      </c>
      <c r="AC18">
        <f>C19-B19+45597</f>
        <v>45733</v>
      </c>
      <c r="AD18">
        <f>168</f>
        <v>168</v>
      </c>
    </row>
    <row r="19" spans="1:34" x14ac:dyDescent="0.3">
      <c r="A19" s="35" t="s">
        <v>24</v>
      </c>
      <c r="B19" s="33">
        <v>45597</v>
      </c>
      <c r="C19" s="36">
        <v>45733</v>
      </c>
      <c r="D19" s="36">
        <v>45900</v>
      </c>
      <c r="E19" s="35">
        <f>D19-C19+1</f>
        <v>168</v>
      </c>
      <c r="F19" s="35"/>
      <c r="G19" s="35"/>
      <c r="H19" s="35"/>
      <c r="I19" s="35"/>
      <c r="AC19">
        <f>J20-B19+45597</f>
        <v>45733</v>
      </c>
      <c r="AD19">
        <f>L20</f>
        <v>172</v>
      </c>
    </row>
    <row r="20" spans="1:34" x14ac:dyDescent="0.3">
      <c r="C20" s="33"/>
      <c r="D20" s="33"/>
      <c r="J20" s="33">
        <v>45733</v>
      </c>
      <c r="K20" s="33">
        <v>45904</v>
      </c>
      <c r="L20">
        <f>K20-J20+1</f>
        <v>172</v>
      </c>
      <c r="AB20" t="str">
        <f>A21</f>
        <v>後端開發</v>
      </c>
      <c r="AC20">
        <f>C21-B21+45597</f>
        <v>45748</v>
      </c>
      <c r="AD20">
        <f>153</f>
        <v>153</v>
      </c>
    </row>
    <row r="21" spans="1:34" x14ac:dyDescent="0.3">
      <c r="A21" t="s">
        <v>25</v>
      </c>
      <c r="B21" s="33">
        <v>45597</v>
      </c>
      <c r="C21" s="33">
        <v>45748</v>
      </c>
      <c r="D21" s="33">
        <v>45900</v>
      </c>
      <c r="E21">
        <f t="shared" si="0"/>
        <v>153</v>
      </c>
      <c r="AC21">
        <f>J22-B21+45597</f>
        <v>45748</v>
      </c>
      <c r="AD21">
        <f>L22</f>
        <v>157</v>
      </c>
    </row>
    <row r="22" spans="1:34" x14ac:dyDescent="0.3">
      <c r="C22" s="33"/>
      <c r="D22" s="33"/>
      <c r="J22" s="33">
        <v>45748</v>
      </c>
      <c r="K22" s="33">
        <v>45904</v>
      </c>
      <c r="L22">
        <f>K22-J22+1</f>
        <v>157</v>
      </c>
      <c r="AB22" t="str">
        <f>A23</f>
        <v>伺服器架設</v>
      </c>
      <c r="AC22">
        <f>C23-B23+45597</f>
        <v>45748</v>
      </c>
      <c r="AD22">
        <f>153</f>
        <v>153</v>
      </c>
    </row>
    <row r="23" spans="1:34" x14ac:dyDescent="0.3">
      <c r="A23" t="s">
        <v>26</v>
      </c>
      <c r="B23" s="33">
        <v>45597</v>
      </c>
      <c r="C23" s="33">
        <v>45748</v>
      </c>
      <c r="D23" s="33">
        <v>45900</v>
      </c>
      <c r="E23">
        <f t="shared" si="0"/>
        <v>153</v>
      </c>
      <c r="AC23">
        <f>J24-B23+45597</f>
        <v>45748</v>
      </c>
      <c r="AD23">
        <f>L24</f>
        <v>157</v>
      </c>
    </row>
    <row r="24" spans="1:34" x14ac:dyDescent="0.3">
      <c r="C24" s="33"/>
      <c r="D24" s="33"/>
      <c r="J24" s="33">
        <v>45748</v>
      </c>
      <c r="K24" s="33">
        <v>45904</v>
      </c>
      <c r="L24">
        <f>K24-J24+1</f>
        <v>157</v>
      </c>
      <c r="AB24" t="str">
        <f>A37</f>
        <v>競賽參與-1</v>
      </c>
      <c r="AC24">
        <f>C37-B37+45597</f>
        <v>45839</v>
      </c>
      <c r="AD24">
        <f>87</f>
        <v>87</v>
      </c>
    </row>
    <row r="25" spans="1:34" x14ac:dyDescent="0.3">
      <c r="A25" t="s">
        <v>27</v>
      </c>
      <c r="B25" s="33">
        <v>45597</v>
      </c>
      <c r="C25" s="33">
        <v>45786</v>
      </c>
      <c r="D25" s="33">
        <v>45802</v>
      </c>
      <c r="E25">
        <f t="shared" si="0"/>
        <v>17</v>
      </c>
      <c r="F25">
        <f>G25-D25</f>
        <v>82</v>
      </c>
      <c r="G25" s="33">
        <v>45884</v>
      </c>
      <c r="H25" s="33">
        <v>45915</v>
      </c>
      <c r="I25">
        <f t="shared" ref="I25" si="1">H25-G25+1</f>
        <v>32</v>
      </c>
      <c r="AC25">
        <f>J26-B25+45597</f>
        <v>45786</v>
      </c>
      <c r="AD25">
        <f>L26</f>
        <v>17</v>
      </c>
      <c r="AG25">
        <f>N26-K26</f>
        <v>82</v>
      </c>
      <c r="AH25">
        <f t="shared" ref="AH25" si="2">P26</f>
        <v>32</v>
      </c>
    </row>
    <row r="26" spans="1:34" x14ac:dyDescent="0.3">
      <c r="C26" s="33"/>
      <c r="D26" s="33"/>
      <c r="J26" s="33">
        <v>45786</v>
      </c>
      <c r="K26" s="33">
        <v>45802</v>
      </c>
      <c r="L26">
        <f>K26-J26+1</f>
        <v>17</v>
      </c>
      <c r="M26">
        <f>N26-K26</f>
        <v>82</v>
      </c>
      <c r="N26" s="33">
        <v>45884</v>
      </c>
      <c r="O26" s="33">
        <v>45915</v>
      </c>
      <c r="P26">
        <f t="shared" ref="P26" si="3">O26-N26+1</f>
        <v>32</v>
      </c>
      <c r="AB26" t="str">
        <f>A27</f>
        <v>系統測試</v>
      </c>
      <c r="AC26">
        <f>C27-B27+45597</f>
        <v>45802</v>
      </c>
      <c r="AD26">
        <f>7</f>
        <v>7</v>
      </c>
      <c r="AG26">
        <f t="shared" ref="AG26" si="4">G27-D27</f>
        <v>81</v>
      </c>
      <c r="AH26">
        <f t="shared" ref="AH26" si="5">I27</f>
        <v>34</v>
      </c>
    </row>
    <row r="27" spans="1:34" x14ac:dyDescent="0.3">
      <c r="A27" t="s">
        <v>29</v>
      </c>
      <c r="B27" s="33">
        <v>45597</v>
      </c>
      <c r="C27" s="33">
        <v>45802</v>
      </c>
      <c r="D27" s="33">
        <v>45808</v>
      </c>
      <c r="E27">
        <f t="shared" si="0"/>
        <v>7</v>
      </c>
      <c r="F27">
        <f t="shared" ref="F27:F31" si="6">G27-D27</f>
        <v>81</v>
      </c>
      <c r="G27" s="33">
        <v>45889</v>
      </c>
      <c r="H27" s="33">
        <v>45922</v>
      </c>
      <c r="I27">
        <f t="shared" ref="I27:I29" si="7">H27-G27+1</f>
        <v>34</v>
      </c>
      <c r="AC27">
        <f>J28-B27+45597</f>
        <v>45802</v>
      </c>
      <c r="AD27">
        <f>I27</f>
        <v>34</v>
      </c>
      <c r="AG27">
        <f t="shared" ref="AG27" si="8">N28-K28</f>
        <v>81</v>
      </c>
      <c r="AH27">
        <f t="shared" ref="AH27" si="9">P28</f>
        <v>34</v>
      </c>
    </row>
    <row r="28" spans="1:34" x14ac:dyDescent="0.3">
      <c r="C28" s="33"/>
      <c r="D28" s="33"/>
      <c r="J28" s="33">
        <v>45802</v>
      </c>
      <c r="K28" s="33">
        <v>45808</v>
      </c>
      <c r="L28">
        <f>K28-J28+1</f>
        <v>7</v>
      </c>
      <c r="M28">
        <f t="shared" ref="M28:M32" si="10">N28-K28</f>
        <v>81</v>
      </c>
      <c r="N28" s="33">
        <v>45889</v>
      </c>
      <c r="O28" s="33">
        <v>45922</v>
      </c>
      <c r="P28">
        <f t="shared" ref="P28" si="11">O28-N28+1</f>
        <v>34</v>
      </c>
      <c r="AB28" t="str">
        <f>A29</f>
        <v>文件製作</v>
      </c>
      <c r="AC28">
        <f>C29-B29+45597</f>
        <v>45765</v>
      </c>
      <c r="AD28">
        <f>36</f>
        <v>36</v>
      </c>
      <c r="AG28">
        <f t="shared" ref="AG28" si="12">G29-D29</f>
        <v>117</v>
      </c>
      <c r="AH28">
        <f t="shared" ref="AH28" si="13">I29</f>
        <v>17</v>
      </c>
    </row>
    <row r="29" spans="1:34" x14ac:dyDescent="0.3">
      <c r="A29" t="s">
        <v>31</v>
      </c>
      <c r="B29" s="33">
        <v>45597</v>
      </c>
      <c r="C29" s="33">
        <v>45765</v>
      </c>
      <c r="D29" s="33">
        <v>45800</v>
      </c>
      <c r="E29">
        <f t="shared" si="0"/>
        <v>36</v>
      </c>
      <c r="F29">
        <f t="shared" si="6"/>
        <v>117</v>
      </c>
      <c r="G29" s="33">
        <v>45917</v>
      </c>
      <c r="H29" s="33">
        <v>45933</v>
      </c>
      <c r="I29">
        <f t="shared" si="7"/>
        <v>17</v>
      </c>
      <c r="AC29">
        <f>J30-B29+45597</f>
        <v>45765</v>
      </c>
      <c r="AD29">
        <f>L30</f>
        <v>36</v>
      </c>
      <c r="AG29">
        <f t="shared" ref="AG29" si="14">N30-K30</f>
        <v>117</v>
      </c>
      <c r="AH29">
        <f t="shared" ref="AH29" si="15">P30</f>
        <v>17</v>
      </c>
    </row>
    <row r="30" spans="1:34" x14ac:dyDescent="0.3">
      <c r="C30" s="33"/>
      <c r="D30" s="33"/>
      <c r="J30" s="33">
        <v>45765</v>
      </c>
      <c r="K30" s="33">
        <v>45800</v>
      </c>
      <c r="L30">
        <f>K30-J30+1</f>
        <v>36</v>
      </c>
      <c r="M30">
        <f t="shared" si="10"/>
        <v>117</v>
      </c>
      <c r="N30" s="33">
        <v>45917</v>
      </c>
      <c r="O30" s="33">
        <v>45933</v>
      </c>
      <c r="P30">
        <f t="shared" ref="P30" si="16">O30-N30+1</f>
        <v>17</v>
      </c>
      <c r="AB30" t="str">
        <f>A31</f>
        <v>簡報製作</v>
      </c>
      <c r="AC30">
        <f>C31-B31+45597</f>
        <v>45797</v>
      </c>
      <c r="AD30">
        <f>8</f>
        <v>8</v>
      </c>
      <c r="AG30">
        <f t="shared" ref="AG30" si="17">G31-D31</f>
        <v>130</v>
      </c>
      <c r="AH30">
        <f t="shared" ref="AH30" si="18">I31</f>
        <v>6</v>
      </c>
    </row>
    <row r="31" spans="1:34" x14ac:dyDescent="0.3">
      <c r="A31" t="s">
        <v>33</v>
      </c>
      <c r="B31" s="33">
        <v>45597</v>
      </c>
      <c r="C31" s="33">
        <v>45797</v>
      </c>
      <c r="D31" s="33">
        <v>45804</v>
      </c>
      <c r="E31">
        <f t="shared" si="0"/>
        <v>8</v>
      </c>
      <c r="F31">
        <f t="shared" si="6"/>
        <v>130</v>
      </c>
      <c r="G31" s="33">
        <v>45934</v>
      </c>
      <c r="H31" s="33">
        <v>45939</v>
      </c>
      <c r="I31">
        <f t="shared" ref="I31" si="19">H31-G31+1</f>
        <v>6</v>
      </c>
      <c r="AC31">
        <f>J32-B31+45597</f>
        <v>45797</v>
      </c>
      <c r="AD31">
        <f>L32</f>
        <v>8</v>
      </c>
      <c r="AG31">
        <f t="shared" ref="AG31" si="20">N32-K32</f>
        <v>130</v>
      </c>
      <c r="AH31">
        <f t="shared" ref="AH31" si="21">P32</f>
        <v>6</v>
      </c>
    </row>
    <row r="32" spans="1:34" x14ac:dyDescent="0.3">
      <c r="J32" s="33">
        <v>45797</v>
      </c>
      <c r="K32" s="33">
        <v>45804</v>
      </c>
      <c r="L32">
        <f>K32-J32+1</f>
        <v>8</v>
      </c>
      <c r="M32">
        <f t="shared" si="10"/>
        <v>130</v>
      </c>
      <c r="N32" s="33">
        <v>45934</v>
      </c>
      <c r="O32" s="33">
        <v>45939</v>
      </c>
      <c r="P32">
        <f t="shared" ref="P32" si="22">O32-N32+1</f>
        <v>6</v>
      </c>
    </row>
    <row r="33" spans="1:34" x14ac:dyDescent="0.3">
      <c r="A33" t="s">
        <v>53</v>
      </c>
      <c r="B33" s="33">
        <v>45597</v>
      </c>
      <c r="C33" s="33">
        <v>45948</v>
      </c>
      <c r="D33" s="33">
        <v>45997</v>
      </c>
      <c r="E33">
        <f t="shared" si="0"/>
        <v>50</v>
      </c>
      <c r="J33" s="33"/>
      <c r="K33" s="33"/>
      <c r="N33" s="33"/>
      <c r="O33" s="33"/>
    </row>
    <row r="34" spans="1:34" x14ac:dyDescent="0.3">
      <c r="J34" s="33">
        <v>45948</v>
      </c>
      <c r="K34" s="33">
        <v>45997</v>
      </c>
      <c r="L34">
        <f t="shared" ref="L34" si="23">K34-J34+1</f>
        <v>50</v>
      </c>
      <c r="N34" s="33"/>
      <c r="O34" s="33"/>
    </row>
    <row r="35" spans="1:34" x14ac:dyDescent="0.3">
      <c r="A35" t="s">
        <v>54</v>
      </c>
      <c r="B35" s="33">
        <v>45597</v>
      </c>
      <c r="C35" s="33">
        <v>45960</v>
      </c>
      <c r="D35" s="33">
        <v>46017</v>
      </c>
      <c r="E35">
        <f t="shared" si="0"/>
        <v>58</v>
      </c>
      <c r="J35" s="33"/>
      <c r="K35" s="33"/>
      <c r="N35" s="33"/>
      <c r="O35" s="33"/>
    </row>
    <row r="36" spans="1:34" x14ac:dyDescent="0.3">
      <c r="J36" s="33">
        <v>45960</v>
      </c>
      <c r="K36" s="33">
        <v>46017</v>
      </c>
      <c r="L36">
        <f t="shared" ref="L36" si="24">K36-J36+1</f>
        <v>58</v>
      </c>
      <c r="N36" s="33"/>
      <c r="O36" s="33"/>
    </row>
    <row r="37" spans="1:34" x14ac:dyDescent="0.3">
      <c r="A37" t="s">
        <v>50</v>
      </c>
      <c r="B37" s="33">
        <v>45597</v>
      </c>
      <c r="C37" s="33">
        <v>45839</v>
      </c>
      <c r="D37" s="33">
        <v>45953</v>
      </c>
      <c r="E37">
        <f>D37-C37+1</f>
        <v>115</v>
      </c>
    </row>
    <row r="38" spans="1:34" x14ac:dyDescent="0.3">
      <c r="B38" s="33"/>
      <c r="C38" s="33"/>
      <c r="D38" s="33"/>
      <c r="J38" s="33">
        <v>45839</v>
      </c>
      <c r="K38" s="33">
        <v>45953</v>
      </c>
      <c r="L38">
        <f t="shared" ref="L38" si="25">K38-J38+1</f>
        <v>115</v>
      </c>
    </row>
    <row r="39" spans="1:34" x14ac:dyDescent="0.3">
      <c r="A39" t="s">
        <v>51</v>
      </c>
      <c r="B39" s="33">
        <v>45597</v>
      </c>
      <c r="C39" s="33">
        <v>45870</v>
      </c>
      <c r="D39" s="33">
        <v>45962</v>
      </c>
      <c r="E39">
        <f>D39-C39+1</f>
        <v>93</v>
      </c>
      <c r="G39" s="33"/>
      <c r="H39" s="33"/>
      <c r="J39" s="33"/>
      <c r="K39" s="33"/>
      <c r="AC39">
        <f>J38-B37+45597</f>
        <v>45839</v>
      </c>
      <c r="AD39">
        <f>L38</f>
        <v>115</v>
      </c>
    </row>
    <row r="40" spans="1:34" x14ac:dyDescent="0.3">
      <c r="C40" s="33"/>
      <c r="D40" s="33"/>
      <c r="J40" s="33">
        <v>45870</v>
      </c>
      <c r="K40" s="33">
        <v>45930</v>
      </c>
      <c r="L40">
        <f>K40-J40+1</f>
        <v>61</v>
      </c>
      <c r="AB40" t="str">
        <f>A25</f>
        <v>系統整合</v>
      </c>
      <c r="AC40">
        <f>C25-B25+45597</f>
        <v>45786</v>
      </c>
      <c r="AD40">
        <f>17</f>
        <v>17</v>
      </c>
      <c r="AG40">
        <f>G25-D25</f>
        <v>82</v>
      </c>
      <c r="AH40">
        <f>I25</f>
        <v>32</v>
      </c>
    </row>
  </sheetData>
  <mergeCells count="4">
    <mergeCell ref="C1:E1"/>
    <mergeCell ref="J1:L1"/>
    <mergeCell ref="G1:I1"/>
    <mergeCell ref="N1:P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1189-D4CA-41F5-B0C8-9BC8C5907047}">
  <dimension ref="A1:J30"/>
  <sheetViews>
    <sheetView zoomScale="55" zoomScaleNormal="55" workbookViewId="0">
      <selection activeCell="G36" sqref="G36"/>
    </sheetView>
  </sheetViews>
  <sheetFormatPr defaultRowHeight="16.2" x14ac:dyDescent="0.3"/>
  <cols>
    <col min="1" max="1" width="15.44140625" bestFit="1" customWidth="1"/>
    <col min="2" max="2" width="11" bestFit="1" customWidth="1"/>
    <col min="3" max="3" width="9.88671875" bestFit="1" customWidth="1"/>
    <col min="4" max="4" width="6" bestFit="1" customWidth="1"/>
    <col min="5" max="5" width="9.77734375" bestFit="1" customWidth="1"/>
    <col min="6" max="6" width="10.88671875" bestFit="1" customWidth="1"/>
    <col min="7" max="7" width="6" customWidth="1"/>
    <col min="8" max="8" width="9.88671875" bestFit="1" customWidth="1"/>
    <col min="9" max="9" width="11" bestFit="1" customWidth="1"/>
    <col min="10" max="10" width="9.88671875" bestFit="1" customWidth="1"/>
    <col min="11" max="12" width="4.77734375" bestFit="1" customWidth="1"/>
    <col min="13" max="15" width="5.77734375" bestFit="1" customWidth="1"/>
    <col min="16" max="17" width="5.109375" customWidth="1"/>
    <col min="26" max="27" width="8.88671875" customWidth="1"/>
  </cols>
  <sheetData>
    <row r="1" spans="1:10" x14ac:dyDescent="0.3">
      <c r="B1" s="48" t="s">
        <v>40</v>
      </c>
      <c r="C1" s="48"/>
      <c r="D1" s="48"/>
      <c r="E1" s="34"/>
      <c r="F1" s="34"/>
      <c r="G1" s="34"/>
      <c r="H1" s="48" t="s">
        <v>36</v>
      </c>
      <c r="I1" s="48"/>
      <c r="J1" s="48"/>
    </row>
    <row r="2" spans="1:10" s="1" customFormat="1" x14ac:dyDescent="0.3">
      <c r="B2" s="1" t="s">
        <v>37</v>
      </c>
      <c r="C2" s="1" t="s">
        <v>38</v>
      </c>
      <c r="D2" s="1" t="s">
        <v>39</v>
      </c>
      <c r="E2" s="34"/>
      <c r="F2" s="34"/>
      <c r="G2" s="34"/>
      <c r="H2" s="1" t="s">
        <v>37</v>
      </c>
      <c r="I2" s="1" t="s">
        <v>38</v>
      </c>
      <c r="J2" s="1" t="s">
        <v>39</v>
      </c>
    </row>
    <row r="3" spans="1:10" x14ac:dyDescent="0.3">
      <c r="A3" t="s">
        <v>13</v>
      </c>
      <c r="B3" s="33">
        <v>45597</v>
      </c>
      <c r="C3" s="33">
        <v>45868</v>
      </c>
      <c r="D3">
        <f>C3-B3+1</f>
        <v>272</v>
      </c>
      <c r="H3" s="33"/>
      <c r="I3" s="33"/>
    </row>
    <row r="4" spans="1:10" x14ac:dyDescent="0.3">
      <c r="B4" s="33"/>
      <c r="C4" s="33"/>
      <c r="H4" s="33">
        <v>45597</v>
      </c>
      <c r="I4" s="33">
        <v>45808</v>
      </c>
      <c r="J4">
        <f>I4-H4+1</f>
        <v>212</v>
      </c>
    </row>
    <row r="5" spans="1:10" x14ac:dyDescent="0.3">
      <c r="A5" t="s">
        <v>14</v>
      </c>
      <c r="B5" s="33">
        <v>45597</v>
      </c>
      <c r="C5" s="33">
        <v>45716</v>
      </c>
      <c r="D5">
        <f t="shared" ref="D5:D29" si="0">C5-B5+1</f>
        <v>120</v>
      </c>
    </row>
    <row r="6" spans="1:10" x14ac:dyDescent="0.3">
      <c r="B6" s="33"/>
      <c r="C6" s="33"/>
      <c r="H6" s="33">
        <v>45597</v>
      </c>
      <c r="I6" s="33">
        <v>45657</v>
      </c>
      <c r="J6">
        <f>I6-H6+1</f>
        <v>61</v>
      </c>
    </row>
    <row r="7" spans="1:10" x14ac:dyDescent="0.3">
      <c r="A7" s="37" t="s">
        <v>15</v>
      </c>
      <c r="B7" s="38">
        <v>45658</v>
      </c>
      <c r="C7" s="46">
        <v>45748</v>
      </c>
      <c r="D7" s="39">
        <f t="shared" si="0"/>
        <v>91</v>
      </c>
      <c r="E7" s="39"/>
      <c r="F7" s="39"/>
      <c r="G7" s="39"/>
      <c r="H7" s="9"/>
      <c r="I7" s="9"/>
      <c r="J7" s="17"/>
    </row>
    <row r="8" spans="1:10" x14ac:dyDescent="0.3">
      <c r="A8" s="6"/>
      <c r="B8" s="40"/>
      <c r="C8" s="40"/>
      <c r="D8" s="2"/>
      <c r="E8" s="2"/>
      <c r="F8" s="2"/>
      <c r="G8" s="2"/>
      <c r="H8" s="40">
        <v>45658</v>
      </c>
      <c r="I8" s="40">
        <v>45717</v>
      </c>
      <c r="J8" s="5">
        <f>I8-H8+1</f>
        <v>60</v>
      </c>
    </row>
    <row r="9" spans="1:10" x14ac:dyDescent="0.3">
      <c r="A9" s="41" t="s">
        <v>17</v>
      </c>
      <c r="B9" s="42">
        <v>45708</v>
      </c>
      <c r="C9" s="45">
        <v>45762</v>
      </c>
      <c r="D9" s="43">
        <f t="shared" si="0"/>
        <v>55</v>
      </c>
      <c r="E9" s="43"/>
      <c r="F9" s="43"/>
      <c r="G9" s="43"/>
      <c r="H9" s="2"/>
      <c r="I9" s="2"/>
      <c r="J9" s="5"/>
    </row>
    <row r="10" spans="1:10" x14ac:dyDescent="0.3">
      <c r="A10" s="22"/>
      <c r="B10" s="44"/>
      <c r="C10" s="44"/>
      <c r="D10" s="12"/>
      <c r="E10" s="12"/>
      <c r="F10" s="12"/>
      <c r="G10" s="12"/>
      <c r="H10" s="44">
        <v>45708</v>
      </c>
      <c r="I10" s="44">
        <v>45748</v>
      </c>
      <c r="J10" s="21">
        <f>I10-H10+1</f>
        <v>41</v>
      </c>
    </row>
    <row r="11" spans="1:10" x14ac:dyDescent="0.3">
      <c r="A11" s="35" t="s">
        <v>20</v>
      </c>
      <c r="B11" s="36">
        <v>45726</v>
      </c>
      <c r="C11" s="36">
        <v>45869</v>
      </c>
      <c r="D11" s="35">
        <f>C11-B11+1</f>
        <v>144</v>
      </c>
      <c r="E11" s="35"/>
      <c r="F11" s="35"/>
      <c r="G11" s="35"/>
    </row>
    <row r="12" spans="1:10" x14ac:dyDescent="0.3">
      <c r="B12" s="33"/>
      <c r="C12" s="33"/>
      <c r="H12" s="33">
        <v>45717</v>
      </c>
      <c r="I12" s="33">
        <v>45808</v>
      </c>
      <c r="J12">
        <f>I12-H12+1</f>
        <v>92</v>
      </c>
    </row>
    <row r="13" spans="1:10" x14ac:dyDescent="0.3">
      <c r="A13" t="s">
        <v>19</v>
      </c>
      <c r="B13" s="33">
        <v>45730</v>
      </c>
      <c r="C13" s="33">
        <v>45869</v>
      </c>
      <c r="D13">
        <f>C13-B13+1</f>
        <v>140</v>
      </c>
    </row>
    <row r="14" spans="1:10" x14ac:dyDescent="0.3">
      <c r="B14" s="33"/>
      <c r="C14" s="33"/>
      <c r="H14" s="33">
        <v>45730</v>
      </c>
      <c r="I14" s="33">
        <v>45808</v>
      </c>
      <c r="J14">
        <f>I14-H14+1</f>
        <v>79</v>
      </c>
    </row>
    <row r="15" spans="1:10" x14ac:dyDescent="0.3">
      <c r="A15" t="s">
        <v>22</v>
      </c>
      <c r="B15" s="33">
        <v>45733</v>
      </c>
      <c r="C15" s="33">
        <v>45900</v>
      </c>
      <c r="D15">
        <f t="shared" si="0"/>
        <v>168</v>
      </c>
    </row>
    <row r="16" spans="1:10" x14ac:dyDescent="0.3">
      <c r="B16" s="33"/>
      <c r="C16" s="33"/>
      <c r="H16" s="33">
        <v>45733</v>
      </c>
      <c r="I16" s="33">
        <v>45808</v>
      </c>
      <c r="J16">
        <f>I16-H16+1</f>
        <v>76</v>
      </c>
    </row>
    <row r="17" spans="1:10" x14ac:dyDescent="0.3">
      <c r="A17" s="35" t="s">
        <v>24</v>
      </c>
      <c r="B17" s="36">
        <v>45733</v>
      </c>
      <c r="C17" s="36">
        <v>45900</v>
      </c>
      <c r="D17" s="35">
        <f>C17-B17+1</f>
        <v>168</v>
      </c>
      <c r="E17" s="35"/>
      <c r="F17" s="35"/>
      <c r="G17" s="35"/>
    </row>
    <row r="18" spans="1:10" x14ac:dyDescent="0.3">
      <c r="B18" s="33"/>
      <c r="C18" s="33"/>
      <c r="H18" s="33">
        <v>45733</v>
      </c>
      <c r="I18" s="33">
        <v>45808</v>
      </c>
      <c r="J18">
        <f>I18-H18+1</f>
        <v>76</v>
      </c>
    </row>
    <row r="19" spans="1:10" x14ac:dyDescent="0.3">
      <c r="A19" t="s">
        <v>25</v>
      </c>
      <c r="B19" s="33">
        <v>45748</v>
      </c>
      <c r="C19" s="33">
        <v>45900</v>
      </c>
      <c r="D19">
        <f t="shared" si="0"/>
        <v>153</v>
      </c>
    </row>
    <row r="20" spans="1:10" x14ac:dyDescent="0.3">
      <c r="B20" s="33"/>
      <c r="C20" s="33"/>
      <c r="H20" s="33">
        <v>45748</v>
      </c>
      <c r="I20" s="33">
        <v>45808</v>
      </c>
      <c r="J20">
        <f>I20-H20+1</f>
        <v>61</v>
      </c>
    </row>
    <row r="21" spans="1:10" x14ac:dyDescent="0.3">
      <c r="A21" t="s">
        <v>26</v>
      </c>
      <c r="B21" s="33">
        <v>45748</v>
      </c>
      <c r="C21" s="33">
        <v>45900</v>
      </c>
      <c r="D21">
        <f t="shared" si="0"/>
        <v>153</v>
      </c>
    </row>
    <row r="22" spans="1:10" x14ac:dyDescent="0.3">
      <c r="B22" s="33"/>
      <c r="C22" s="33"/>
      <c r="H22" s="33">
        <v>45748</v>
      </c>
      <c r="I22" s="33">
        <v>45808</v>
      </c>
      <c r="J22">
        <f>I22-H22+1</f>
        <v>61</v>
      </c>
    </row>
    <row r="23" spans="1:10" x14ac:dyDescent="0.3">
      <c r="A23" t="s">
        <v>27</v>
      </c>
      <c r="B23" s="33">
        <v>45786</v>
      </c>
      <c r="C23" s="33">
        <v>45802</v>
      </c>
      <c r="D23">
        <f t="shared" si="0"/>
        <v>17</v>
      </c>
      <c r="E23" s="33">
        <v>45910</v>
      </c>
      <c r="F23" s="33">
        <v>45920</v>
      </c>
      <c r="G23">
        <f t="shared" ref="G23" si="1">F23-E23+1</f>
        <v>11</v>
      </c>
    </row>
    <row r="24" spans="1:10" x14ac:dyDescent="0.3">
      <c r="B24" s="33"/>
      <c r="C24" s="33"/>
      <c r="H24" s="33">
        <v>45786</v>
      </c>
      <c r="I24" s="33">
        <v>45802</v>
      </c>
      <c r="J24">
        <f>I24-H24+1</f>
        <v>17</v>
      </c>
    </row>
    <row r="25" spans="1:10" x14ac:dyDescent="0.3">
      <c r="A25" t="s">
        <v>29</v>
      </c>
      <c r="B25" s="33">
        <v>45802</v>
      </c>
      <c r="C25" s="33">
        <v>45808</v>
      </c>
      <c r="D25">
        <f t="shared" si="0"/>
        <v>7</v>
      </c>
    </row>
    <row r="26" spans="1:10" x14ac:dyDescent="0.3">
      <c r="B26" s="33"/>
      <c r="C26" s="33"/>
      <c r="H26" s="33">
        <v>45802</v>
      </c>
      <c r="I26" s="33">
        <v>45808</v>
      </c>
      <c r="J26">
        <f>I26-H26+1</f>
        <v>7</v>
      </c>
    </row>
    <row r="27" spans="1:10" x14ac:dyDescent="0.3">
      <c r="A27" t="s">
        <v>31</v>
      </c>
      <c r="B27" s="33">
        <v>45765</v>
      </c>
      <c r="C27" s="33">
        <v>45800</v>
      </c>
      <c r="D27">
        <f t="shared" si="0"/>
        <v>36</v>
      </c>
    </row>
    <row r="28" spans="1:10" x14ac:dyDescent="0.3">
      <c r="B28" s="33"/>
      <c r="C28" s="33"/>
      <c r="H28" s="33">
        <v>45765</v>
      </c>
      <c r="I28" s="33">
        <v>45800</v>
      </c>
      <c r="J28">
        <f>I28-H28+1</f>
        <v>36</v>
      </c>
    </row>
    <row r="29" spans="1:10" x14ac:dyDescent="0.3">
      <c r="A29" t="s">
        <v>33</v>
      </c>
      <c r="B29" s="33">
        <v>45797</v>
      </c>
      <c r="C29" s="33">
        <v>45804</v>
      </c>
      <c r="D29">
        <f t="shared" si="0"/>
        <v>8</v>
      </c>
    </row>
    <row r="30" spans="1:10" x14ac:dyDescent="0.3">
      <c r="H30" s="33">
        <v>45797</v>
      </c>
      <c r="I30" s="33">
        <v>45804</v>
      </c>
      <c r="J30">
        <f>I30-H30+1</f>
        <v>8</v>
      </c>
    </row>
  </sheetData>
  <mergeCells count="2">
    <mergeCell ref="B1:D1"/>
    <mergeCell ref="H1:J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0CE5-BC40-4C57-9DD9-345649793A2D}">
  <dimension ref="A1:AW31"/>
  <sheetViews>
    <sheetView zoomScaleNormal="100" workbookViewId="0">
      <pane ySplit="1" topLeftCell="A2" activePane="bottomLeft" state="frozen"/>
      <selection pane="bottomLeft" activeCell="W20" sqref="W20"/>
    </sheetView>
  </sheetViews>
  <sheetFormatPr defaultRowHeight="16.2" x14ac:dyDescent="0.3"/>
  <cols>
    <col min="1" max="1" width="15.44140625" customWidth="1"/>
    <col min="2" max="2" width="2.21875" style="6" customWidth="1"/>
    <col min="3" max="4" width="2.21875" style="2" customWidth="1"/>
    <col min="5" max="5" width="2.21875" style="5" customWidth="1"/>
    <col min="6" max="6" width="2.21875" style="6" customWidth="1"/>
    <col min="7" max="8" width="2.21875" style="2" customWidth="1"/>
    <col min="9" max="9" width="2.21875" style="5" customWidth="1"/>
    <col min="10" max="10" width="2.21875" style="6" customWidth="1"/>
    <col min="11" max="12" width="2.21875" style="2" customWidth="1"/>
    <col min="13" max="13" width="2.21875" style="5" customWidth="1"/>
    <col min="14" max="14" width="2.21875" style="6" customWidth="1"/>
    <col min="15" max="16" width="2.21875" style="2" customWidth="1"/>
    <col min="17" max="17" width="2.21875" style="5" customWidth="1"/>
    <col min="18" max="18" width="2.21875" style="6" customWidth="1"/>
    <col min="19" max="20" width="2.21875" style="2" customWidth="1"/>
    <col min="21" max="21" width="2.21875" style="5" customWidth="1"/>
    <col min="22" max="22" width="2.21875" style="6" customWidth="1"/>
    <col min="23" max="24" width="2.21875" style="2" customWidth="1"/>
    <col min="25" max="25" width="2.21875" style="5" customWidth="1"/>
    <col min="26" max="26" width="2.21875" style="6" customWidth="1"/>
    <col min="27" max="28" width="2.21875" style="2" customWidth="1"/>
    <col min="29" max="29" width="2.21875" style="5" customWidth="1"/>
    <col min="30" max="30" width="2.21875" style="6" customWidth="1"/>
    <col min="31" max="32" width="2.21875" style="2" customWidth="1"/>
    <col min="33" max="33" width="2.21875" style="5" customWidth="1"/>
    <col min="34" max="34" width="2.21875" style="6" customWidth="1"/>
    <col min="35" max="36" width="2.21875" style="2" customWidth="1"/>
    <col min="37" max="37" width="2.21875" style="5" customWidth="1"/>
    <col min="38" max="38" width="2.21875" style="6" customWidth="1"/>
    <col min="39" max="40" width="2.21875" style="2" customWidth="1"/>
    <col min="41" max="41" width="2.21875" style="5" customWidth="1"/>
    <col min="42" max="42" width="2.21875" style="6" customWidth="1"/>
    <col min="43" max="44" width="2.21875" style="2" customWidth="1"/>
    <col min="45" max="45" width="2.21875" style="5" customWidth="1"/>
    <col min="46" max="46" width="2.21875" style="6" customWidth="1"/>
    <col min="47" max="48" width="2.21875" style="2" customWidth="1"/>
    <col min="49" max="49" width="2.21875" style="5" customWidth="1"/>
  </cols>
  <sheetData>
    <row r="1" spans="1:49" s="4" customFormat="1" x14ac:dyDescent="0.3">
      <c r="A1" s="3" t="s">
        <v>0</v>
      </c>
      <c r="B1" s="49" t="s">
        <v>1</v>
      </c>
      <c r="C1" s="50"/>
      <c r="D1" s="50"/>
      <c r="E1" s="51"/>
      <c r="F1" s="49" t="s">
        <v>2</v>
      </c>
      <c r="G1" s="50"/>
      <c r="H1" s="50"/>
      <c r="I1" s="51"/>
      <c r="J1" s="49" t="s">
        <v>3</v>
      </c>
      <c r="K1" s="50"/>
      <c r="L1" s="50"/>
      <c r="M1" s="51"/>
      <c r="N1" s="49" t="s">
        <v>4</v>
      </c>
      <c r="O1" s="50"/>
      <c r="P1" s="50"/>
      <c r="Q1" s="51"/>
      <c r="R1" s="49" t="s">
        <v>5</v>
      </c>
      <c r="S1" s="50"/>
      <c r="T1" s="50"/>
      <c r="U1" s="51"/>
      <c r="V1" s="49" t="s">
        <v>6</v>
      </c>
      <c r="W1" s="50"/>
      <c r="X1" s="50"/>
      <c r="Y1" s="51"/>
      <c r="Z1" s="49" t="s">
        <v>7</v>
      </c>
      <c r="AA1" s="50"/>
      <c r="AB1" s="50"/>
      <c r="AC1" s="51"/>
      <c r="AD1" s="49" t="s">
        <v>8</v>
      </c>
      <c r="AE1" s="50"/>
      <c r="AF1" s="50"/>
      <c r="AG1" s="51"/>
      <c r="AH1" s="49" t="s">
        <v>9</v>
      </c>
      <c r="AI1" s="50"/>
      <c r="AJ1" s="50"/>
      <c r="AK1" s="51"/>
      <c r="AL1" s="49" t="s">
        <v>10</v>
      </c>
      <c r="AM1" s="50"/>
      <c r="AN1" s="50"/>
      <c r="AO1" s="51"/>
      <c r="AP1" s="49" t="s">
        <v>11</v>
      </c>
      <c r="AQ1" s="50"/>
      <c r="AR1" s="50"/>
      <c r="AS1" s="51"/>
      <c r="AT1" s="49" t="s">
        <v>12</v>
      </c>
      <c r="AU1" s="50"/>
      <c r="AV1" s="50"/>
      <c r="AW1" s="51"/>
    </row>
    <row r="2" spans="1:49" x14ac:dyDescent="0.3">
      <c r="A2" s="52" t="s">
        <v>13</v>
      </c>
      <c r="B2" s="13"/>
      <c r="C2" s="7"/>
      <c r="D2" s="8"/>
      <c r="E2" s="14"/>
      <c r="F2" s="15"/>
      <c r="G2" s="8"/>
      <c r="H2" s="8"/>
      <c r="I2" s="14"/>
      <c r="J2" s="15"/>
      <c r="K2" s="8"/>
      <c r="L2" s="8"/>
      <c r="M2" s="14"/>
      <c r="N2" s="15"/>
      <c r="O2" s="8"/>
      <c r="P2" s="8"/>
      <c r="Q2" s="14"/>
      <c r="R2" s="15"/>
      <c r="S2" s="8"/>
      <c r="T2" s="8"/>
      <c r="U2" s="14"/>
      <c r="V2" s="15"/>
      <c r="W2" s="8"/>
      <c r="X2" s="8"/>
      <c r="Y2" s="14"/>
      <c r="Z2" s="16"/>
      <c r="AA2" s="9"/>
      <c r="AB2" s="9"/>
      <c r="AC2" s="17"/>
      <c r="AD2" s="16"/>
      <c r="AE2" s="9"/>
      <c r="AF2" s="9"/>
      <c r="AG2" s="17"/>
      <c r="AH2" s="16"/>
      <c r="AI2" s="9"/>
      <c r="AJ2" s="9"/>
      <c r="AK2" s="17"/>
      <c r="AL2" s="16"/>
      <c r="AM2" s="9"/>
      <c r="AN2" s="9"/>
      <c r="AO2" s="17"/>
      <c r="AP2" s="16"/>
      <c r="AQ2" s="9"/>
      <c r="AR2" s="9"/>
      <c r="AS2" s="17"/>
      <c r="AT2" s="16"/>
      <c r="AU2" s="9"/>
      <c r="AV2" s="9"/>
      <c r="AW2" s="17"/>
    </row>
    <row r="3" spans="1:49" x14ac:dyDescent="0.3">
      <c r="A3" s="53"/>
      <c r="B3" s="31"/>
      <c r="C3" s="32"/>
      <c r="D3" s="26"/>
      <c r="E3" s="28"/>
      <c r="F3" s="25"/>
      <c r="G3" s="26"/>
      <c r="H3" s="26"/>
      <c r="I3" s="28"/>
      <c r="J3" s="25"/>
      <c r="K3" s="26"/>
      <c r="L3" s="26"/>
      <c r="M3" s="28"/>
      <c r="N3" s="25"/>
      <c r="O3" s="26"/>
      <c r="P3" s="26"/>
      <c r="Q3" s="28"/>
      <c r="R3" s="25"/>
      <c r="S3" s="26"/>
      <c r="T3" s="26"/>
      <c r="U3" s="28"/>
      <c r="V3" s="20"/>
      <c r="W3" s="11"/>
      <c r="X3" s="11"/>
      <c r="Y3" s="19"/>
      <c r="Z3" s="22"/>
      <c r="AA3" s="12"/>
      <c r="AB3" s="12"/>
      <c r="AC3" s="21"/>
      <c r="AD3" s="22"/>
      <c r="AE3" s="12"/>
      <c r="AF3" s="12"/>
      <c r="AG3" s="21"/>
      <c r="AH3" s="22"/>
      <c r="AI3" s="12"/>
      <c r="AJ3" s="12"/>
      <c r="AK3" s="21"/>
      <c r="AL3" s="22"/>
      <c r="AM3" s="12"/>
      <c r="AN3" s="12"/>
      <c r="AO3" s="21"/>
      <c r="AP3" s="22"/>
      <c r="AQ3" s="12"/>
      <c r="AR3" s="12"/>
      <c r="AS3" s="21"/>
      <c r="AT3" s="22"/>
      <c r="AU3" s="12"/>
      <c r="AV3" s="12"/>
      <c r="AW3" s="21"/>
    </row>
    <row r="4" spans="1:49" x14ac:dyDescent="0.3">
      <c r="A4" s="52" t="s">
        <v>14</v>
      </c>
      <c r="B4" s="23"/>
      <c r="C4" s="24"/>
      <c r="D4" s="8"/>
      <c r="E4" s="14"/>
      <c r="F4" s="15"/>
      <c r="G4" s="8"/>
      <c r="H4" s="8"/>
      <c r="I4" s="14"/>
      <c r="J4" s="15"/>
      <c r="K4" s="8"/>
      <c r="L4" s="9"/>
      <c r="M4" s="17"/>
      <c r="N4" s="16"/>
      <c r="O4" s="9"/>
      <c r="P4" s="9"/>
      <c r="Q4" s="17"/>
      <c r="R4" s="16"/>
      <c r="S4" s="9"/>
      <c r="T4" s="9"/>
      <c r="U4" s="17"/>
      <c r="V4" s="16"/>
      <c r="W4" s="9"/>
      <c r="X4" s="9"/>
      <c r="Y4" s="17"/>
      <c r="Z4" s="16"/>
      <c r="AA4" s="9"/>
      <c r="AB4" s="9"/>
      <c r="AC4" s="17"/>
      <c r="AD4" s="16"/>
      <c r="AE4" s="9"/>
      <c r="AF4" s="9"/>
      <c r="AG4" s="17"/>
      <c r="AH4" s="16"/>
      <c r="AI4" s="9"/>
      <c r="AJ4" s="9"/>
      <c r="AK4" s="17"/>
      <c r="AL4" s="16"/>
      <c r="AM4" s="9"/>
      <c r="AN4" s="9"/>
      <c r="AO4" s="17"/>
      <c r="AP4" s="16"/>
      <c r="AQ4" s="9"/>
      <c r="AR4" s="9"/>
      <c r="AS4" s="17"/>
      <c r="AT4" s="16"/>
      <c r="AU4" s="9"/>
      <c r="AV4" s="9"/>
      <c r="AW4" s="17"/>
    </row>
    <row r="5" spans="1:49" x14ac:dyDescent="0.3">
      <c r="A5" s="53"/>
      <c r="B5" s="18"/>
      <c r="C5" s="32"/>
      <c r="D5" s="26"/>
      <c r="E5" s="28"/>
      <c r="F5" s="25"/>
      <c r="G5" s="26"/>
      <c r="H5" s="26"/>
      <c r="I5" s="21"/>
      <c r="J5" s="22"/>
      <c r="K5" s="12"/>
      <c r="L5" s="12"/>
      <c r="M5" s="21"/>
      <c r="N5" s="22"/>
      <c r="O5" s="12"/>
      <c r="P5" s="12"/>
      <c r="Q5" s="21"/>
      <c r="R5" s="22"/>
      <c r="S5" s="12"/>
      <c r="T5" s="12"/>
      <c r="U5" s="21"/>
      <c r="V5" s="22"/>
      <c r="W5" s="12"/>
      <c r="X5" s="12"/>
      <c r="Y5" s="21"/>
      <c r="Z5" s="22"/>
      <c r="AA5" s="12"/>
      <c r="AB5" s="12"/>
      <c r="AC5" s="21"/>
      <c r="AD5" s="22"/>
      <c r="AE5" s="12"/>
      <c r="AF5" s="12"/>
      <c r="AG5" s="21"/>
      <c r="AH5" s="22"/>
      <c r="AI5" s="12"/>
      <c r="AJ5" s="12"/>
      <c r="AK5" s="21"/>
      <c r="AL5" s="22"/>
      <c r="AM5" s="12"/>
      <c r="AN5" s="12"/>
      <c r="AO5" s="21"/>
      <c r="AP5" s="22"/>
      <c r="AQ5" s="12"/>
      <c r="AR5" s="12"/>
      <c r="AS5" s="21"/>
      <c r="AT5" s="22"/>
      <c r="AU5" s="12"/>
      <c r="AV5" s="12"/>
      <c r="AW5" s="21"/>
    </row>
    <row r="6" spans="1:49" x14ac:dyDescent="0.3">
      <c r="A6" s="52" t="s">
        <v>16</v>
      </c>
      <c r="B6" s="23"/>
      <c r="C6" s="24"/>
      <c r="D6" s="9"/>
      <c r="E6" s="17"/>
      <c r="F6" s="16"/>
      <c r="G6" s="9"/>
      <c r="H6" s="9"/>
      <c r="I6" s="17"/>
      <c r="J6" s="15"/>
      <c r="K6" s="8"/>
      <c r="L6" s="8"/>
      <c r="M6" s="14"/>
      <c r="N6" s="15"/>
      <c r="O6" s="8"/>
      <c r="P6" s="8"/>
      <c r="Q6" s="14"/>
      <c r="R6" s="15"/>
      <c r="S6" s="8"/>
      <c r="T6" s="8"/>
      <c r="U6" s="14"/>
      <c r="V6" s="16"/>
      <c r="W6" s="9"/>
      <c r="X6" s="9"/>
      <c r="Y6" s="17"/>
      <c r="Z6" s="16"/>
      <c r="AA6" s="9"/>
      <c r="AB6" s="9"/>
      <c r="AC6" s="17"/>
      <c r="AD6" s="16"/>
      <c r="AE6" s="9"/>
      <c r="AF6" s="9"/>
      <c r="AG6" s="17"/>
      <c r="AH6" s="16"/>
      <c r="AI6" s="9"/>
      <c r="AJ6" s="9"/>
      <c r="AK6" s="17"/>
      <c r="AL6" s="16"/>
      <c r="AM6" s="9"/>
      <c r="AN6" s="9"/>
      <c r="AO6" s="17"/>
      <c r="AP6" s="16"/>
      <c r="AQ6" s="9"/>
      <c r="AR6" s="9"/>
      <c r="AS6" s="17"/>
      <c r="AT6" s="16"/>
      <c r="AU6" s="9"/>
      <c r="AV6" s="9"/>
      <c r="AW6" s="17"/>
    </row>
    <row r="7" spans="1:49" x14ac:dyDescent="0.3">
      <c r="A7" s="53"/>
      <c r="B7" s="18"/>
      <c r="C7" s="10"/>
      <c r="D7" s="12"/>
      <c r="E7" s="21"/>
      <c r="F7" s="22"/>
      <c r="G7" s="26"/>
      <c r="H7" s="26"/>
      <c r="I7" s="28"/>
      <c r="J7" s="25"/>
      <c r="K7" s="26"/>
      <c r="L7" s="26"/>
      <c r="M7" s="28"/>
      <c r="N7" s="22"/>
      <c r="O7" s="12"/>
      <c r="P7" s="12"/>
      <c r="Q7" s="21"/>
      <c r="R7" s="22"/>
      <c r="S7" s="12"/>
      <c r="T7" s="12"/>
      <c r="U7" s="21"/>
      <c r="V7" s="22"/>
      <c r="W7" s="12"/>
      <c r="X7" s="12"/>
      <c r="Y7" s="21"/>
      <c r="Z7" s="22"/>
      <c r="AA7" s="12"/>
      <c r="AB7" s="12"/>
      <c r="AC7" s="21"/>
      <c r="AD7" s="22"/>
      <c r="AE7" s="12"/>
      <c r="AF7" s="12"/>
      <c r="AG7" s="21"/>
      <c r="AH7" s="22"/>
      <c r="AI7" s="12"/>
      <c r="AJ7" s="12"/>
      <c r="AK7" s="21"/>
      <c r="AL7" s="22"/>
      <c r="AM7" s="12"/>
      <c r="AN7" s="12"/>
      <c r="AO7" s="21"/>
      <c r="AP7" s="22"/>
      <c r="AQ7" s="12"/>
      <c r="AR7" s="12"/>
      <c r="AS7" s="21"/>
      <c r="AT7" s="22"/>
      <c r="AU7" s="12"/>
      <c r="AV7" s="12"/>
      <c r="AW7" s="21"/>
    </row>
    <row r="8" spans="1:49" x14ac:dyDescent="0.3">
      <c r="A8" s="52" t="s">
        <v>18</v>
      </c>
      <c r="B8" s="23"/>
      <c r="C8" s="24"/>
      <c r="D8" s="9"/>
      <c r="E8" s="17"/>
      <c r="F8" s="16"/>
      <c r="G8" s="9"/>
      <c r="H8" s="9"/>
      <c r="I8" s="17"/>
      <c r="J8" s="15"/>
      <c r="K8" s="8"/>
      <c r="L8" s="8"/>
      <c r="M8" s="14"/>
      <c r="N8" s="15"/>
      <c r="O8" s="8"/>
      <c r="P8" s="8"/>
      <c r="Q8" s="14"/>
      <c r="R8" s="15"/>
      <c r="S8" s="8"/>
      <c r="T8" s="8"/>
      <c r="U8" s="14"/>
      <c r="V8" s="16"/>
      <c r="W8" s="9"/>
      <c r="X8" s="9"/>
      <c r="Y8" s="17"/>
      <c r="Z8" s="16"/>
      <c r="AA8" s="9"/>
      <c r="AB8" s="9"/>
      <c r="AC8" s="17"/>
      <c r="AD8" s="16"/>
      <c r="AE8" s="9"/>
      <c r="AF8" s="9"/>
      <c r="AG8" s="17"/>
      <c r="AH8" s="16"/>
      <c r="AI8" s="9"/>
      <c r="AJ8" s="9"/>
      <c r="AK8" s="17"/>
      <c r="AL8" s="16"/>
      <c r="AM8" s="9"/>
      <c r="AN8" s="9"/>
      <c r="AO8" s="17"/>
      <c r="AP8" s="16"/>
      <c r="AQ8" s="9"/>
      <c r="AR8" s="9"/>
      <c r="AS8" s="17"/>
      <c r="AT8" s="16"/>
      <c r="AU8" s="9"/>
      <c r="AV8" s="9"/>
      <c r="AW8" s="17"/>
    </row>
    <row r="9" spans="1:49" x14ac:dyDescent="0.3">
      <c r="A9" s="53"/>
      <c r="B9" s="18"/>
      <c r="C9" s="10"/>
      <c r="D9" s="12"/>
      <c r="E9" s="21"/>
      <c r="F9" s="22"/>
      <c r="G9" s="26"/>
      <c r="H9" s="26"/>
      <c r="I9" s="28"/>
      <c r="J9" s="25"/>
      <c r="K9" s="26"/>
      <c r="L9" s="26"/>
      <c r="M9" s="28"/>
      <c r="N9" s="22"/>
      <c r="O9" s="12"/>
      <c r="P9" s="12"/>
      <c r="Q9" s="21"/>
      <c r="R9" s="22"/>
      <c r="S9" s="12"/>
      <c r="T9" s="12"/>
      <c r="U9" s="21"/>
      <c r="V9" s="22"/>
      <c r="W9" s="12"/>
      <c r="X9" s="12"/>
      <c r="Y9" s="21"/>
      <c r="Z9" s="22"/>
      <c r="AA9" s="12"/>
      <c r="AB9" s="12"/>
      <c r="AC9" s="21"/>
      <c r="AD9" s="22"/>
      <c r="AE9" s="12"/>
      <c r="AF9" s="12"/>
      <c r="AG9" s="21"/>
      <c r="AH9" s="22"/>
      <c r="AI9" s="12"/>
      <c r="AJ9" s="12"/>
      <c r="AK9" s="21"/>
      <c r="AL9" s="22"/>
      <c r="AM9" s="12"/>
      <c r="AN9" s="12"/>
      <c r="AO9" s="21"/>
      <c r="AP9" s="22"/>
      <c r="AQ9" s="12"/>
      <c r="AR9" s="12"/>
      <c r="AS9" s="21"/>
      <c r="AT9" s="22"/>
      <c r="AU9" s="12"/>
      <c r="AV9" s="12"/>
      <c r="AW9" s="21"/>
    </row>
    <row r="10" spans="1:49" x14ac:dyDescent="0.3">
      <c r="A10" s="52" t="s">
        <v>21</v>
      </c>
      <c r="B10" s="23"/>
      <c r="C10" s="24"/>
      <c r="D10" s="9"/>
      <c r="E10" s="17"/>
      <c r="F10" s="16"/>
      <c r="G10" s="9"/>
      <c r="H10" s="9"/>
      <c r="I10" s="17"/>
      <c r="J10" s="16"/>
      <c r="K10" s="9"/>
      <c r="L10" s="8"/>
      <c r="M10" s="14"/>
      <c r="N10" s="15"/>
      <c r="O10" s="8"/>
      <c r="P10" s="8"/>
      <c r="Q10" s="14"/>
      <c r="R10" s="15"/>
      <c r="S10" s="8"/>
      <c r="T10" s="8"/>
      <c r="U10" s="14"/>
      <c r="V10" s="15"/>
      <c r="W10" s="8"/>
      <c r="X10" s="8"/>
      <c r="Y10" s="14"/>
      <c r="Z10" s="15"/>
      <c r="AA10" s="8"/>
      <c r="AB10" s="8"/>
      <c r="AC10" s="14"/>
      <c r="AD10" s="15"/>
      <c r="AE10" s="8"/>
      <c r="AF10" s="8"/>
      <c r="AG10" s="14"/>
      <c r="AH10" s="29"/>
      <c r="AI10" s="27"/>
      <c r="AJ10" s="27"/>
      <c r="AK10" s="30"/>
      <c r="AL10" s="16"/>
      <c r="AM10" s="9"/>
      <c r="AN10" s="9"/>
      <c r="AO10" s="17"/>
      <c r="AP10" s="16"/>
      <c r="AQ10" s="9"/>
      <c r="AR10" s="9"/>
      <c r="AS10" s="17"/>
      <c r="AT10" s="16"/>
      <c r="AU10" s="9"/>
      <c r="AV10" s="9"/>
      <c r="AW10" s="17"/>
    </row>
    <row r="11" spans="1:49" x14ac:dyDescent="0.3">
      <c r="A11" s="53"/>
      <c r="B11" s="18"/>
      <c r="C11" s="10"/>
      <c r="D11" s="12"/>
      <c r="E11" s="21"/>
      <c r="F11" s="22"/>
      <c r="G11" s="12"/>
      <c r="H11" s="26"/>
      <c r="I11" s="28"/>
      <c r="J11" s="25"/>
      <c r="K11" s="26"/>
      <c r="L11" s="26"/>
      <c r="M11" s="28"/>
      <c r="N11" s="25"/>
      <c r="O11" s="26"/>
      <c r="P11" s="26"/>
      <c r="Q11" s="28"/>
      <c r="R11" s="25"/>
      <c r="S11" s="26"/>
      <c r="T11" s="26"/>
      <c r="U11" s="28"/>
      <c r="V11" s="22"/>
      <c r="W11" s="12"/>
      <c r="X11" s="12"/>
      <c r="Y11" s="21"/>
      <c r="Z11" s="22"/>
      <c r="AA11" s="12"/>
      <c r="AB11" s="12"/>
      <c r="AC11" s="21"/>
      <c r="AD11" s="22"/>
      <c r="AE11" s="12"/>
      <c r="AF11" s="12"/>
      <c r="AG11" s="21"/>
      <c r="AH11" s="22"/>
      <c r="AI11" s="12"/>
      <c r="AJ11" s="12"/>
      <c r="AK11" s="21"/>
      <c r="AL11" s="22"/>
      <c r="AM11" s="12"/>
      <c r="AN11" s="12"/>
      <c r="AO11" s="21"/>
      <c r="AP11" s="22"/>
      <c r="AQ11" s="12"/>
      <c r="AR11" s="12"/>
      <c r="AS11" s="21"/>
      <c r="AT11" s="22"/>
      <c r="AU11" s="12"/>
      <c r="AV11" s="12"/>
      <c r="AW11" s="21"/>
    </row>
    <row r="12" spans="1:49" x14ac:dyDescent="0.3">
      <c r="A12" s="52" t="s">
        <v>19</v>
      </c>
      <c r="B12" s="23"/>
      <c r="C12" s="24"/>
      <c r="D12" s="9"/>
      <c r="E12" s="17"/>
      <c r="F12" s="16"/>
      <c r="G12" s="9"/>
      <c r="H12" s="9"/>
      <c r="I12" s="17"/>
      <c r="J12" s="15"/>
      <c r="K12" s="8"/>
      <c r="L12" s="8"/>
      <c r="M12" s="14"/>
      <c r="N12" s="15"/>
      <c r="O12" s="8"/>
      <c r="P12" s="8"/>
      <c r="Q12" s="14"/>
      <c r="R12" s="15"/>
      <c r="S12" s="8"/>
      <c r="T12" s="8"/>
      <c r="U12" s="14"/>
      <c r="V12" s="15"/>
      <c r="W12" s="8"/>
      <c r="X12" s="9"/>
      <c r="Y12" s="17"/>
      <c r="Z12" s="16"/>
      <c r="AA12" s="9"/>
      <c r="AB12" s="9"/>
      <c r="AC12" s="17"/>
      <c r="AD12" s="16"/>
      <c r="AE12" s="9"/>
      <c r="AF12" s="9"/>
      <c r="AG12" s="17"/>
      <c r="AH12" s="16"/>
      <c r="AI12" s="9"/>
      <c r="AJ12" s="9"/>
      <c r="AK12" s="17"/>
      <c r="AL12" s="16"/>
      <c r="AM12" s="9"/>
      <c r="AN12" s="9"/>
      <c r="AO12" s="17"/>
      <c r="AP12" s="16"/>
      <c r="AQ12" s="9"/>
      <c r="AR12" s="9"/>
      <c r="AS12" s="17"/>
      <c r="AT12" s="16"/>
      <c r="AU12" s="9"/>
      <c r="AV12" s="9"/>
      <c r="AW12" s="17"/>
    </row>
    <row r="13" spans="1:49" x14ac:dyDescent="0.3">
      <c r="A13" s="53"/>
      <c r="B13" s="18"/>
      <c r="C13" s="10"/>
      <c r="D13" s="12"/>
      <c r="E13" s="21"/>
      <c r="F13" s="22"/>
      <c r="G13" s="12"/>
      <c r="H13" s="12"/>
      <c r="I13" s="21"/>
      <c r="J13" s="25"/>
      <c r="K13" s="26"/>
      <c r="L13" s="26"/>
      <c r="M13" s="28"/>
      <c r="N13" s="25"/>
      <c r="O13" s="26"/>
      <c r="P13" s="26"/>
      <c r="Q13" s="28"/>
      <c r="R13" s="25"/>
      <c r="S13" s="26"/>
      <c r="T13" s="26"/>
      <c r="U13" s="28"/>
      <c r="V13" s="22"/>
      <c r="W13" s="12"/>
      <c r="X13" s="12"/>
      <c r="Y13" s="21"/>
      <c r="Z13" s="22"/>
      <c r="AA13" s="12"/>
      <c r="AB13" s="12"/>
      <c r="AC13" s="21"/>
      <c r="AD13" s="22"/>
      <c r="AE13" s="12"/>
      <c r="AF13" s="12"/>
      <c r="AG13" s="21"/>
      <c r="AH13" s="22"/>
      <c r="AI13" s="12"/>
      <c r="AJ13" s="12"/>
      <c r="AK13" s="21"/>
      <c r="AL13" s="22"/>
      <c r="AM13" s="12"/>
      <c r="AN13" s="12"/>
      <c r="AO13" s="21"/>
      <c r="AP13" s="22"/>
      <c r="AQ13" s="12"/>
      <c r="AR13" s="12"/>
      <c r="AS13" s="21"/>
      <c r="AT13" s="22"/>
      <c r="AU13" s="12"/>
      <c r="AV13" s="12"/>
      <c r="AW13" s="21"/>
    </row>
    <row r="14" spans="1:49" x14ac:dyDescent="0.3">
      <c r="A14" s="52" t="s">
        <v>23</v>
      </c>
      <c r="B14" s="23"/>
      <c r="C14" s="24"/>
      <c r="D14" s="9"/>
      <c r="E14" s="17"/>
      <c r="F14" s="16"/>
      <c r="G14" s="9"/>
      <c r="H14" s="9"/>
      <c r="I14" s="17"/>
      <c r="J14" s="16"/>
      <c r="K14" s="9"/>
      <c r="L14" s="8"/>
      <c r="M14" s="14"/>
      <c r="N14" s="15"/>
      <c r="O14" s="8"/>
      <c r="P14" s="8"/>
      <c r="Q14" s="14"/>
      <c r="R14" s="15"/>
      <c r="S14" s="8"/>
      <c r="T14" s="8"/>
      <c r="U14" s="14"/>
      <c r="V14" s="15"/>
      <c r="W14" s="8"/>
      <c r="X14" s="8"/>
      <c r="Y14" s="14"/>
      <c r="Z14" s="15"/>
      <c r="AA14" s="8"/>
      <c r="AB14" s="8"/>
      <c r="AC14" s="14"/>
      <c r="AD14" s="15"/>
      <c r="AE14" s="8"/>
      <c r="AF14" s="8"/>
      <c r="AG14" s="14"/>
      <c r="AH14" s="16"/>
      <c r="AI14" s="9"/>
      <c r="AJ14" s="9"/>
      <c r="AK14" s="17"/>
      <c r="AL14" s="16"/>
      <c r="AM14" s="9"/>
      <c r="AN14" s="9"/>
      <c r="AO14" s="17"/>
      <c r="AP14" s="16"/>
      <c r="AQ14" s="9"/>
      <c r="AR14" s="9"/>
      <c r="AS14" s="17"/>
      <c r="AT14" s="16"/>
      <c r="AU14" s="9"/>
      <c r="AV14" s="9"/>
      <c r="AW14" s="17"/>
    </row>
    <row r="15" spans="1:49" x14ac:dyDescent="0.3">
      <c r="A15" s="53"/>
      <c r="B15" s="18"/>
      <c r="C15" s="10"/>
      <c r="D15" s="12"/>
      <c r="E15" s="21"/>
      <c r="F15" s="22"/>
      <c r="G15" s="12"/>
      <c r="H15" s="12"/>
      <c r="I15" s="21"/>
      <c r="J15" s="22"/>
      <c r="K15" s="12"/>
      <c r="L15" s="12"/>
      <c r="M15" s="21"/>
      <c r="N15" s="25"/>
      <c r="O15" s="26"/>
      <c r="P15" s="26"/>
      <c r="Q15" s="28"/>
      <c r="R15" s="25"/>
      <c r="S15" s="26"/>
      <c r="T15" s="26"/>
      <c r="U15" s="28"/>
      <c r="V15" s="22"/>
      <c r="W15" s="12"/>
      <c r="X15" s="12"/>
      <c r="Y15" s="21"/>
      <c r="Z15" s="22"/>
      <c r="AA15" s="12"/>
      <c r="AB15" s="12"/>
      <c r="AC15" s="21"/>
      <c r="AD15" s="22"/>
      <c r="AE15" s="12"/>
      <c r="AF15" s="12"/>
      <c r="AG15" s="21"/>
      <c r="AH15" s="22"/>
      <c r="AI15" s="12"/>
      <c r="AJ15" s="12"/>
      <c r="AK15" s="21"/>
      <c r="AL15" s="22"/>
      <c r="AM15" s="12"/>
      <c r="AN15" s="12"/>
      <c r="AO15" s="21"/>
      <c r="AP15" s="22"/>
      <c r="AQ15" s="12"/>
      <c r="AR15" s="12"/>
      <c r="AS15" s="21"/>
      <c r="AT15" s="22"/>
      <c r="AU15" s="12"/>
      <c r="AV15" s="12"/>
      <c r="AW15" s="21"/>
    </row>
    <row r="16" spans="1:49" x14ac:dyDescent="0.3">
      <c r="A16" s="52" t="s">
        <v>24</v>
      </c>
      <c r="B16" s="23"/>
      <c r="C16" s="24"/>
      <c r="D16" s="9"/>
      <c r="E16" s="17"/>
      <c r="F16" s="16"/>
      <c r="G16" s="9"/>
      <c r="H16" s="9"/>
      <c r="I16" s="17"/>
      <c r="J16" s="16"/>
      <c r="K16" s="9"/>
      <c r="L16" s="8"/>
      <c r="M16" s="14"/>
      <c r="N16" s="15"/>
      <c r="O16" s="8"/>
      <c r="P16" s="8"/>
      <c r="Q16" s="14"/>
      <c r="R16" s="15"/>
      <c r="S16" s="8"/>
      <c r="T16" s="8"/>
      <c r="U16" s="14"/>
      <c r="V16" s="15"/>
      <c r="W16" s="8"/>
      <c r="X16" s="8"/>
      <c r="Y16" s="14"/>
      <c r="Z16" s="15"/>
      <c r="AA16" s="8"/>
      <c r="AB16" s="8"/>
      <c r="AC16" s="14"/>
      <c r="AD16" s="15"/>
      <c r="AE16" s="8"/>
      <c r="AF16" s="8"/>
      <c r="AG16" s="14"/>
      <c r="AH16" s="16"/>
      <c r="AI16" s="9"/>
      <c r="AJ16" s="9"/>
      <c r="AK16" s="17"/>
      <c r="AL16" s="16"/>
      <c r="AM16" s="9"/>
      <c r="AN16" s="9"/>
      <c r="AO16" s="17"/>
      <c r="AP16" s="16"/>
      <c r="AQ16" s="9"/>
      <c r="AR16" s="9"/>
      <c r="AS16" s="17"/>
      <c r="AT16" s="16"/>
      <c r="AU16" s="9"/>
      <c r="AV16" s="9"/>
      <c r="AW16" s="17"/>
    </row>
    <row r="17" spans="1:49" x14ac:dyDescent="0.3">
      <c r="A17" s="53"/>
      <c r="B17" s="18"/>
      <c r="C17" s="10"/>
      <c r="D17" s="12"/>
      <c r="E17" s="21"/>
      <c r="F17" s="22"/>
      <c r="G17" s="12"/>
      <c r="H17" s="12"/>
      <c r="I17" s="21"/>
      <c r="J17" s="25"/>
      <c r="K17" s="26"/>
      <c r="L17" s="26"/>
      <c r="M17" s="28"/>
      <c r="N17" s="25"/>
      <c r="O17" s="26"/>
      <c r="P17" s="26"/>
      <c r="Q17" s="28"/>
      <c r="R17" s="25"/>
      <c r="S17" s="26"/>
      <c r="T17" s="26"/>
      <c r="U17" s="28"/>
      <c r="V17" s="22"/>
      <c r="W17" s="12"/>
      <c r="X17" s="12"/>
      <c r="Y17" s="21"/>
      <c r="Z17" s="22"/>
      <c r="AA17" s="12"/>
      <c r="AB17" s="12"/>
      <c r="AC17" s="21"/>
      <c r="AD17" s="22"/>
      <c r="AE17" s="12"/>
      <c r="AF17" s="12"/>
      <c r="AG17" s="21"/>
      <c r="AH17" s="22"/>
      <c r="AI17" s="12"/>
      <c r="AJ17" s="12"/>
      <c r="AK17" s="21"/>
      <c r="AL17" s="22"/>
      <c r="AM17" s="12"/>
      <c r="AN17" s="12"/>
      <c r="AO17" s="21"/>
      <c r="AP17" s="22"/>
      <c r="AQ17" s="12"/>
      <c r="AR17" s="12"/>
      <c r="AS17" s="21"/>
      <c r="AT17" s="22"/>
      <c r="AU17" s="12"/>
      <c r="AV17" s="12"/>
      <c r="AW17" s="21"/>
    </row>
    <row r="18" spans="1:49" x14ac:dyDescent="0.3">
      <c r="A18" s="52" t="s">
        <v>25</v>
      </c>
      <c r="B18" s="23"/>
      <c r="C18" s="24"/>
      <c r="D18" s="9"/>
      <c r="E18" s="17"/>
      <c r="F18" s="16"/>
      <c r="G18" s="9"/>
      <c r="H18" s="9"/>
      <c r="I18" s="17"/>
      <c r="J18" s="16"/>
      <c r="K18" s="9"/>
      <c r="L18" s="9"/>
      <c r="M18" s="17"/>
      <c r="N18" s="15"/>
      <c r="O18" s="8"/>
      <c r="P18" s="8"/>
      <c r="Q18" s="14"/>
      <c r="R18" s="15"/>
      <c r="S18" s="8"/>
      <c r="T18" s="8"/>
      <c r="U18" s="14"/>
      <c r="V18" s="15"/>
      <c r="W18" s="8"/>
      <c r="X18" s="8"/>
      <c r="Y18" s="14"/>
      <c r="Z18" s="15"/>
      <c r="AA18" s="8"/>
      <c r="AB18" s="8"/>
      <c r="AC18" s="14"/>
      <c r="AD18" s="15"/>
      <c r="AE18" s="8"/>
      <c r="AF18" s="8"/>
      <c r="AG18" s="14"/>
      <c r="AH18" s="16"/>
      <c r="AI18" s="9"/>
      <c r="AJ18" s="9"/>
      <c r="AK18" s="17"/>
      <c r="AL18" s="16"/>
      <c r="AM18" s="9"/>
      <c r="AN18" s="9"/>
      <c r="AO18" s="17"/>
      <c r="AP18" s="16"/>
      <c r="AQ18" s="9"/>
      <c r="AR18" s="9"/>
      <c r="AS18" s="17"/>
      <c r="AT18" s="16"/>
      <c r="AU18" s="9"/>
      <c r="AV18" s="9"/>
      <c r="AW18" s="17"/>
    </row>
    <row r="19" spans="1:49" x14ac:dyDescent="0.3">
      <c r="A19" s="53"/>
      <c r="B19" s="18"/>
      <c r="C19" s="10"/>
      <c r="D19" s="12"/>
      <c r="E19" s="21"/>
      <c r="F19" s="22"/>
      <c r="G19" s="12"/>
      <c r="H19" s="12"/>
      <c r="I19" s="21"/>
      <c r="J19" s="22"/>
      <c r="K19" s="12"/>
      <c r="L19" s="12"/>
      <c r="M19" s="21"/>
      <c r="N19" s="25"/>
      <c r="O19" s="26"/>
      <c r="P19" s="26"/>
      <c r="Q19" s="28"/>
      <c r="R19" s="25"/>
      <c r="S19" s="26"/>
      <c r="T19" s="26"/>
      <c r="U19" s="28"/>
      <c r="V19" s="22"/>
      <c r="W19" s="12"/>
      <c r="X19" s="12"/>
      <c r="Y19" s="21"/>
      <c r="Z19" s="22"/>
      <c r="AA19" s="12"/>
      <c r="AB19" s="12"/>
      <c r="AC19" s="21"/>
      <c r="AD19" s="22"/>
      <c r="AE19" s="12"/>
      <c r="AF19" s="12"/>
      <c r="AG19" s="21"/>
      <c r="AH19" s="22"/>
      <c r="AI19" s="12"/>
      <c r="AJ19" s="12"/>
      <c r="AK19" s="21"/>
      <c r="AL19" s="22"/>
      <c r="AM19" s="12"/>
      <c r="AN19" s="12"/>
      <c r="AO19" s="21"/>
      <c r="AP19" s="22"/>
      <c r="AQ19" s="12"/>
      <c r="AR19" s="12"/>
      <c r="AS19" s="21"/>
      <c r="AT19" s="22"/>
      <c r="AU19" s="12"/>
      <c r="AV19" s="12"/>
      <c r="AW19" s="21"/>
    </row>
    <row r="20" spans="1:49" x14ac:dyDescent="0.3">
      <c r="A20" s="52" t="s">
        <v>26</v>
      </c>
      <c r="B20" s="23"/>
      <c r="C20" s="24"/>
      <c r="D20" s="9"/>
      <c r="E20" s="17"/>
      <c r="F20" s="16"/>
      <c r="G20" s="9"/>
      <c r="H20" s="9"/>
      <c r="I20" s="17"/>
      <c r="J20" s="16"/>
      <c r="K20" s="9"/>
      <c r="L20" s="9"/>
      <c r="M20" s="17"/>
      <c r="N20" s="15"/>
      <c r="O20" s="8"/>
      <c r="P20" s="8"/>
      <c r="Q20" s="14"/>
      <c r="R20" s="15"/>
      <c r="S20" s="8"/>
      <c r="T20" s="8"/>
      <c r="U20" s="14"/>
      <c r="V20" s="15"/>
      <c r="W20" s="8"/>
      <c r="X20" s="8"/>
      <c r="Y20" s="14"/>
      <c r="Z20" s="15"/>
      <c r="AA20" s="8"/>
      <c r="AB20" s="8"/>
      <c r="AC20" s="14"/>
      <c r="AD20" s="15"/>
      <c r="AE20" s="8"/>
      <c r="AF20" s="8"/>
      <c r="AG20" s="14"/>
      <c r="AH20" s="16"/>
      <c r="AI20" s="9"/>
      <c r="AJ20" s="9"/>
      <c r="AK20" s="17"/>
      <c r="AL20" s="16"/>
      <c r="AM20" s="9"/>
      <c r="AN20" s="9"/>
      <c r="AO20" s="17"/>
      <c r="AP20" s="16"/>
      <c r="AQ20" s="9"/>
      <c r="AR20" s="9"/>
      <c r="AS20" s="17"/>
      <c r="AT20" s="16"/>
      <c r="AU20" s="9"/>
      <c r="AV20" s="9"/>
      <c r="AW20" s="17"/>
    </row>
    <row r="21" spans="1:49" x14ac:dyDescent="0.3">
      <c r="A21" s="53"/>
      <c r="B21" s="18"/>
      <c r="C21" s="10"/>
      <c r="D21" s="12"/>
      <c r="E21" s="21"/>
      <c r="F21" s="22"/>
      <c r="G21" s="12"/>
      <c r="H21" s="12"/>
      <c r="I21" s="21"/>
      <c r="J21" s="22"/>
      <c r="K21" s="12"/>
      <c r="L21" s="12"/>
      <c r="M21" s="21"/>
      <c r="N21" s="22"/>
      <c r="O21" s="12"/>
      <c r="P21" s="12"/>
      <c r="Q21" s="21"/>
      <c r="R21" s="22"/>
      <c r="S21" s="12"/>
      <c r="T21" s="12"/>
      <c r="U21" s="21"/>
      <c r="V21" s="22"/>
      <c r="W21" s="12"/>
      <c r="X21" s="12"/>
      <c r="Y21" s="21"/>
      <c r="Z21" s="22"/>
      <c r="AA21" s="12"/>
      <c r="AB21" s="12"/>
      <c r="AC21" s="21"/>
      <c r="AD21" s="22"/>
      <c r="AE21" s="12"/>
      <c r="AF21" s="12"/>
      <c r="AG21" s="21"/>
      <c r="AH21" s="22"/>
      <c r="AI21" s="12"/>
      <c r="AJ21" s="12"/>
      <c r="AK21" s="21"/>
      <c r="AL21" s="22"/>
      <c r="AM21" s="12"/>
      <c r="AN21" s="12"/>
      <c r="AO21" s="21"/>
      <c r="AP21" s="22"/>
      <c r="AQ21" s="12"/>
      <c r="AR21" s="12"/>
      <c r="AS21" s="21"/>
      <c r="AT21" s="22"/>
      <c r="AU21" s="12"/>
      <c r="AV21" s="12"/>
      <c r="AW21" s="21"/>
    </row>
    <row r="22" spans="1:49" x14ac:dyDescent="0.3">
      <c r="A22" s="52" t="s">
        <v>28</v>
      </c>
      <c r="B22" s="23"/>
      <c r="C22" s="24"/>
      <c r="D22" s="9"/>
      <c r="E22" s="17"/>
      <c r="F22" s="16"/>
      <c r="G22" s="9"/>
      <c r="H22" s="9"/>
      <c r="I22" s="17"/>
      <c r="J22" s="16"/>
      <c r="K22" s="9"/>
      <c r="L22" s="9"/>
      <c r="M22" s="17"/>
      <c r="N22" s="16"/>
      <c r="O22" s="9"/>
      <c r="P22" s="9"/>
      <c r="Q22" s="17"/>
      <c r="R22" s="16"/>
      <c r="S22" s="9"/>
      <c r="T22" s="9"/>
      <c r="U22" s="17"/>
      <c r="V22" s="16"/>
      <c r="W22" s="9"/>
      <c r="X22" s="9"/>
      <c r="Y22" s="17"/>
      <c r="Z22" s="16"/>
      <c r="AA22" s="9"/>
      <c r="AB22" s="9"/>
      <c r="AC22" s="17"/>
      <c r="AD22" s="16"/>
      <c r="AE22" s="9"/>
      <c r="AF22" s="9"/>
      <c r="AG22" s="17"/>
      <c r="AH22" s="16"/>
      <c r="AI22" s="9"/>
      <c r="AJ22" s="9"/>
      <c r="AK22" s="17"/>
      <c r="AL22" s="16"/>
      <c r="AM22" s="9"/>
      <c r="AN22" s="9"/>
      <c r="AO22" s="17"/>
      <c r="AP22" s="16"/>
      <c r="AQ22" s="9"/>
      <c r="AR22" s="9"/>
      <c r="AS22" s="17"/>
      <c r="AT22" s="16"/>
      <c r="AU22" s="9"/>
      <c r="AV22" s="9"/>
      <c r="AW22" s="17"/>
    </row>
    <row r="23" spans="1:49" x14ac:dyDescent="0.3">
      <c r="A23" s="53"/>
      <c r="B23" s="18"/>
      <c r="C23" s="10"/>
      <c r="D23" s="12"/>
      <c r="E23" s="21"/>
      <c r="F23" s="22"/>
      <c r="G23" s="12"/>
      <c r="H23" s="12"/>
      <c r="I23" s="21"/>
      <c r="J23" s="22"/>
      <c r="K23" s="12"/>
      <c r="L23" s="12"/>
      <c r="M23" s="21"/>
      <c r="N23" s="22"/>
      <c r="O23" s="12"/>
      <c r="P23" s="12"/>
      <c r="Q23" s="21"/>
      <c r="R23" s="22"/>
      <c r="S23" s="12"/>
      <c r="T23" s="12"/>
      <c r="U23" s="21"/>
      <c r="V23" s="22"/>
      <c r="W23" s="12"/>
      <c r="X23" s="12"/>
      <c r="Y23" s="21"/>
      <c r="Z23" s="22"/>
      <c r="AA23" s="12"/>
      <c r="AB23" s="12"/>
      <c r="AC23" s="21"/>
      <c r="AD23" s="22"/>
      <c r="AE23" s="12"/>
      <c r="AF23" s="12"/>
      <c r="AG23" s="21"/>
      <c r="AH23" s="22"/>
      <c r="AI23" s="12"/>
      <c r="AJ23" s="12"/>
      <c r="AK23" s="21"/>
      <c r="AL23" s="22"/>
      <c r="AM23" s="12"/>
      <c r="AN23" s="12"/>
      <c r="AO23" s="21"/>
      <c r="AP23" s="22"/>
      <c r="AQ23" s="12"/>
      <c r="AR23" s="12"/>
      <c r="AS23" s="21"/>
      <c r="AT23" s="22"/>
      <c r="AU23" s="12"/>
      <c r="AV23" s="12"/>
      <c r="AW23" s="21"/>
    </row>
    <row r="24" spans="1:49" x14ac:dyDescent="0.3">
      <c r="A24" s="52" t="s">
        <v>30</v>
      </c>
      <c r="B24" s="23"/>
      <c r="C24" s="24"/>
      <c r="D24" s="9"/>
      <c r="E24" s="17"/>
      <c r="F24" s="16"/>
      <c r="G24" s="9"/>
      <c r="H24" s="9"/>
      <c r="I24" s="17"/>
      <c r="J24" s="16"/>
      <c r="K24" s="9"/>
      <c r="L24" s="9"/>
      <c r="M24" s="17"/>
      <c r="N24" s="16"/>
      <c r="O24" s="9"/>
      <c r="P24" s="9"/>
      <c r="Q24" s="17"/>
      <c r="R24" s="16"/>
      <c r="S24" s="9"/>
      <c r="T24" s="9"/>
      <c r="U24" s="17"/>
      <c r="V24" s="16"/>
      <c r="W24" s="9"/>
      <c r="X24" s="9"/>
      <c r="Y24" s="17"/>
      <c r="Z24" s="16"/>
      <c r="AA24" s="9"/>
      <c r="AB24" s="9"/>
      <c r="AC24" s="17"/>
      <c r="AD24" s="16"/>
      <c r="AE24" s="9"/>
      <c r="AF24" s="9"/>
      <c r="AG24" s="17"/>
      <c r="AH24" s="16"/>
      <c r="AI24" s="9"/>
      <c r="AJ24" s="9"/>
      <c r="AK24" s="17"/>
      <c r="AL24" s="16"/>
      <c r="AM24" s="9"/>
      <c r="AN24" s="9"/>
      <c r="AO24" s="17"/>
      <c r="AP24" s="16"/>
      <c r="AQ24" s="9"/>
      <c r="AR24" s="9"/>
      <c r="AS24" s="17"/>
      <c r="AT24" s="16"/>
      <c r="AU24" s="9"/>
      <c r="AV24" s="9"/>
      <c r="AW24" s="17"/>
    </row>
    <row r="25" spans="1:49" x14ac:dyDescent="0.3">
      <c r="A25" s="53"/>
      <c r="B25" s="18"/>
      <c r="C25" s="10"/>
      <c r="D25" s="12"/>
      <c r="E25" s="21"/>
      <c r="F25" s="22"/>
      <c r="G25" s="12"/>
      <c r="H25" s="12"/>
      <c r="I25" s="21"/>
      <c r="J25" s="22"/>
      <c r="K25" s="12"/>
      <c r="L25" s="12"/>
      <c r="M25" s="21"/>
      <c r="N25" s="22"/>
      <c r="O25" s="12"/>
      <c r="P25" s="12"/>
      <c r="Q25" s="21"/>
      <c r="R25" s="22"/>
      <c r="S25" s="12"/>
      <c r="T25" s="12"/>
      <c r="U25" s="21"/>
      <c r="V25" s="22"/>
      <c r="W25" s="12"/>
      <c r="X25" s="12"/>
      <c r="Y25" s="21"/>
      <c r="Z25" s="22"/>
      <c r="AA25" s="12"/>
      <c r="AB25" s="12"/>
      <c r="AC25" s="21"/>
      <c r="AD25" s="22"/>
      <c r="AE25" s="12"/>
      <c r="AF25" s="12"/>
      <c r="AG25" s="21"/>
      <c r="AH25" s="22"/>
      <c r="AI25" s="12"/>
      <c r="AJ25" s="12"/>
      <c r="AK25" s="21"/>
      <c r="AL25" s="22"/>
      <c r="AM25" s="12"/>
      <c r="AN25" s="12"/>
      <c r="AO25" s="21"/>
      <c r="AP25" s="22"/>
      <c r="AQ25" s="12"/>
      <c r="AR25" s="12"/>
      <c r="AS25" s="21"/>
      <c r="AT25" s="22"/>
      <c r="AU25" s="12"/>
      <c r="AV25" s="12"/>
      <c r="AW25" s="21"/>
    </row>
    <row r="26" spans="1:49" x14ac:dyDescent="0.3">
      <c r="A26" s="52" t="s">
        <v>32</v>
      </c>
      <c r="B26" s="23"/>
      <c r="C26" s="24"/>
      <c r="D26" s="9"/>
      <c r="E26" s="17"/>
      <c r="F26" s="16"/>
      <c r="G26" s="9"/>
      <c r="H26" s="9"/>
      <c r="I26" s="17"/>
      <c r="J26" s="16"/>
      <c r="K26" s="9"/>
      <c r="L26" s="9"/>
      <c r="M26" s="17"/>
      <c r="N26" s="16"/>
      <c r="O26" s="9"/>
      <c r="P26" s="9"/>
      <c r="Q26" s="14"/>
      <c r="R26" s="15"/>
      <c r="S26" s="8"/>
      <c r="T26" s="8"/>
      <c r="U26" s="17"/>
      <c r="V26" s="16"/>
      <c r="W26" s="9"/>
      <c r="X26" s="9"/>
      <c r="Y26" s="17"/>
      <c r="Z26" s="16"/>
      <c r="AA26" s="9"/>
      <c r="AB26" s="9"/>
      <c r="AC26" s="17"/>
      <c r="AD26" s="16"/>
      <c r="AE26" s="9"/>
      <c r="AF26" s="9"/>
      <c r="AG26" s="17"/>
      <c r="AH26" s="16"/>
      <c r="AI26" s="9"/>
      <c r="AJ26" s="9"/>
      <c r="AK26" s="17"/>
      <c r="AL26" s="16"/>
      <c r="AM26" s="9"/>
      <c r="AN26" s="9"/>
      <c r="AO26" s="17"/>
      <c r="AP26" s="16"/>
      <c r="AQ26" s="9"/>
      <c r="AR26" s="9"/>
      <c r="AS26" s="17"/>
      <c r="AT26" s="16"/>
      <c r="AU26" s="9"/>
      <c r="AV26" s="9"/>
      <c r="AW26" s="17"/>
    </row>
    <row r="27" spans="1:49" x14ac:dyDescent="0.3">
      <c r="A27" s="53"/>
      <c r="B27" s="18"/>
      <c r="C27" s="10"/>
      <c r="D27" s="12"/>
      <c r="E27" s="21"/>
      <c r="F27" s="22"/>
      <c r="G27" s="12"/>
      <c r="H27" s="12"/>
      <c r="I27" s="21"/>
      <c r="J27" s="22"/>
      <c r="K27" s="12"/>
      <c r="L27" s="12"/>
      <c r="M27" s="21"/>
      <c r="N27" s="22"/>
      <c r="O27" s="12"/>
      <c r="P27" s="12"/>
      <c r="Q27" s="21"/>
      <c r="R27" s="25"/>
      <c r="S27" s="26"/>
      <c r="T27" s="26"/>
      <c r="U27" s="21"/>
      <c r="V27" s="22"/>
      <c r="W27" s="12"/>
      <c r="X27" s="12"/>
      <c r="Y27" s="21"/>
      <c r="Z27" s="22"/>
      <c r="AA27" s="12"/>
      <c r="AB27" s="12"/>
      <c r="AC27" s="21"/>
      <c r="AD27" s="22"/>
      <c r="AE27" s="12"/>
      <c r="AF27" s="12"/>
      <c r="AG27" s="21"/>
      <c r="AH27" s="22"/>
      <c r="AI27" s="12"/>
      <c r="AJ27" s="12"/>
      <c r="AK27" s="21"/>
      <c r="AL27" s="22"/>
      <c r="AM27" s="12"/>
      <c r="AN27" s="12"/>
      <c r="AO27" s="21"/>
      <c r="AP27" s="22"/>
      <c r="AQ27" s="12"/>
      <c r="AR27" s="12"/>
      <c r="AS27" s="21"/>
      <c r="AT27" s="22"/>
      <c r="AU27" s="12"/>
      <c r="AV27" s="12"/>
      <c r="AW27" s="21"/>
    </row>
    <row r="28" spans="1:49" x14ac:dyDescent="0.3">
      <c r="A28" s="52" t="s">
        <v>34</v>
      </c>
      <c r="B28" s="23"/>
      <c r="C28" s="24"/>
      <c r="D28" s="9"/>
      <c r="E28" s="17"/>
      <c r="F28" s="16"/>
      <c r="G28" s="9"/>
      <c r="H28" s="9"/>
      <c r="I28" s="17"/>
      <c r="J28" s="16"/>
      <c r="K28" s="9"/>
      <c r="L28" s="9"/>
      <c r="M28" s="17"/>
      <c r="N28" s="16"/>
      <c r="O28" s="9"/>
      <c r="P28" s="9"/>
      <c r="Q28" s="17"/>
      <c r="R28" s="16"/>
      <c r="S28" s="27"/>
      <c r="T28" s="8"/>
      <c r="U28" s="14"/>
      <c r="V28" s="16"/>
      <c r="W28" s="9"/>
      <c r="X28" s="9"/>
      <c r="Y28" s="17"/>
      <c r="Z28" s="16"/>
      <c r="AA28" s="9"/>
      <c r="AB28" s="9"/>
      <c r="AC28" s="17"/>
      <c r="AD28" s="16"/>
      <c r="AE28" s="9"/>
      <c r="AF28" s="9"/>
      <c r="AG28" s="17"/>
      <c r="AH28" s="16"/>
      <c r="AI28" s="9"/>
      <c r="AJ28" s="9"/>
      <c r="AK28" s="17"/>
      <c r="AL28" s="16"/>
      <c r="AM28" s="9"/>
      <c r="AN28" s="9"/>
      <c r="AO28" s="17"/>
      <c r="AP28" s="16"/>
      <c r="AQ28" s="9"/>
      <c r="AR28" s="9"/>
      <c r="AS28" s="17"/>
      <c r="AT28" s="16"/>
      <c r="AU28" s="9"/>
      <c r="AV28" s="9"/>
      <c r="AW28" s="17"/>
    </row>
    <row r="29" spans="1:49" x14ac:dyDescent="0.3">
      <c r="A29" s="53"/>
      <c r="B29" s="18"/>
      <c r="C29" s="10"/>
      <c r="D29" s="12"/>
      <c r="E29" s="21"/>
      <c r="F29" s="22"/>
      <c r="G29" s="12"/>
      <c r="H29" s="12"/>
      <c r="I29" s="21"/>
      <c r="J29" s="22"/>
      <c r="K29" s="12"/>
      <c r="L29" s="12"/>
      <c r="M29" s="21"/>
      <c r="N29" s="22"/>
      <c r="O29" s="12"/>
      <c r="P29" s="12"/>
      <c r="Q29" s="21"/>
      <c r="R29" s="22"/>
      <c r="S29" s="12"/>
      <c r="T29" s="26"/>
      <c r="U29" s="28"/>
      <c r="V29" s="22"/>
      <c r="W29" s="12"/>
      <c r="X29" s="12"/>
      <c r="Y29" s="21"/>
      <c r="Z29" s="22"/>
      <c r="AA29" s="12"/>
      <c r="AB29" s="12"/>
      <c r="AC29" s="21"/>
      <c r="AD29" s="22"/>
      <c r="AE29" s="12"/>
      <c r="AF29" s="12"/>
      <c r="AG29" s="21"/>
      <c r="AH29" s="22"/>
      <c r="AI29" s="12"/>
      <c r="AJ29" s="12"/>
      <c r="AK29" s="21"/>
      <c r="AL29" s="22"/>
      <c r="AM29" s="12"/>
      <c r="AN29" s="12"/>
      <c r="AO29" s="21"/>
      <c r="AP29" s="22"/>
      <c r="AQ29" s="12"/>
      <c r="AR29" s="12"/>
      <c r="AS29" s="21"/>
      <c r="AT29" s="22"/>
      <c r="AU29" s="12"/>
      <c r="AV29" s="12"/>
      <c r="AW29" s="21"/>
    </row>
    <row r="30" spans="1:49" x14ac:dyDescent="0.3">
      <c r="A30" s="52" t="s">
        <v>35</v>
      </c>
      <c r="B30" s="23"/>
      <c r="C30" s="24"/>
      <c r="D30" s="9"/>
      <c r="E30" s="17"/>
      <c r="F30" s="16"/>
      <c r="G30" s="9"/>
      <c r="H30" s="9"/>
      <c r="I30" s="17"/>
      <c r="J30" s="16"/>
      <c r="K30" s="9"/>
      <c r="L30" s="9"/>
      <c r="M30" s="17"/>
      <c r="N30" s="16"/>
      <c r="O30" s="9"/>
      <c r="P30" s="9"/>
      <c r="Q30" s="17"/>
      <c r="R30" s="16"/>
      <c r="S30" s="9"/>
      <c r="T30" s="9"/>
      <c r="U30" s="17"/>
      <c r="V30" s="16"/>
      <c r="W30" s="9"/>
      <c r="X30" s="9"/>
      <c r="Y30" s="17"/>
      <c r="Z30" s="16"/>
      <c r="AA30" s="9"/>
      <c r="AB30" s="9"/>
      <c r="AC30" s="17"/>
      <c r="AD30" s="16"/>
      <c r="AE30" s="9"/>
      <c r="AF30" s="9"/>
      <c r="AG30" s="17"/>
      <c r="AH30" s="16"/>
      <c r="AI30" s="9"/>
      <c r="AJ30" s="9"/>
      <c r="AK30" s="17"/>
      <c r="AL30" s="16"/>
      <c r="AM30" s="9"/>
      <c r="AN30" s="9"/>
      <c r="AO30" s="17"/>
      <c r="AP30" s="16"/>
      <c r="AQ30" s="9"/>
      <c r="AR30" s="9"/>
      <c r="AS30" s="17"/>
      <c r="AT30" s="16"/>
      <c r="AU30" s="9"/>
      <c r="AV30" s="9"/>
      <c r="AW30" s="17"/>
    </row>
    <row r="31" spans="1:49" x14ac:dyDescent="0.3">
      <c r="A31" s="53"/>
      <c r="B31" s="18"/>
      <c r="C31" s="10"/>
      <c r="D31" s="12"/>
      <c r="E31" s="21"/>
      <c r="F31" s="22"/>
      <c r="G31" s="12"/>
      <c r="H31" s="12"/>
      <c r="I31" s="21"/>
      <c r="J31" s="22"/>
      <c r="K31" s="12"/>
      <c r="L31" s="12"/>
      <c r="M31" s="21"/>
      <c r="N31" s="22"/>
      <c r="O31" s="12"/>
      <c r="P31" s="12"/>
      <c r="Q31" s="21"/>
      <c r="R31" s="22"/>
      <c r="S31" s="12"/>
      <c r="T31" s="12"/>
      <c r="U31" s="21"/>
      <c r="V31" s="22"/>
      <c r="W31" s="12"/>
      <c r="X31" s="12"/>
      <c r="Y31" s="21"/>
      <c r="Z31" s="22"/>
      <c r="AA31" s="12"/>
      <c r="AB31" s="12"/>
      <c r="AC31" s="21"/>
      <c r="AD31" s="22"/>
      <c r="AE31" s="12"/>
      <c r="AF31" s="12"/>
      <c r="AG31" s="21"/>
      <c r="AH31" s="22"/>
      <c r="AI31" s="12"/>
      <c r="AJ31" s="12"/>
      <c r="AK31" s="21"/>
      <c r="AL31" s="22"/>
      <c r="AM31" s="12"/>
      <c r="AN31" s="12"/>
      <c r="AO31" s="21"/>
      <c r="AP31" s="22"/>
      <c r="AQ31" s="12"/>
      <c r="AR31" s="12"/>
      <c r="AS31" s="21"/>
      <c r="AT31" s="22"/>
      <c r="AU31" s="12"/>
      <c r="AV31" s="12"/>
      <c r="AW31" s="21"/>
    </row>
  </sheetData>
  <mergeCells count="27">
    <mergeCell ref="J1:M1"/>
    <mergeCell ref="N1:Q1"/>
    <mergeCell ref="A2:A3"/>
    <mergeCell ref="A4:A5"/>
    <mergeCell ref="A6:A7"/>
    <mergeCell ref="B1:E1"/>
    <mergeCell ref="F1:I1"/>
    <mergeCell ref="A30:A31"/>
    <mergeCell ref="A8:A9"/>
    <mergeCell ref="A12:A13"/>
    <mergeCell ref="A10:A11"/>
    <mergeCell ref="A14:A15"/>
    <mergeCell ref="A16:A17"/>
    <mergeCell ref="A18:A19"/>
    <mergeCell ref="A20:A21"/>
    <mergeCell ref="A22:A23"/>
    <mergeCell ref="A24:A25"/>
    <mergeCell ref="A26:A27"/>
    <mergeCell ref="A28:A29"/>
    <mergeCell ref="AP1:AS1"/>
    <mergeCell ref="AT1:AW1"/>
    <mergeCell ref="R1:U1"/>
    <mergeCell ref="V1:Y1"/>
    <mergeCell ref="Z1:AC1"/>
    <mergeCell ref="AD1:AG1"/>
    <mergeCell ref="AH1:AK1"/>
    <mergeCell ref="AL1:A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4-1專案排程-甘特圖-new</vt:lpstr>
      <vt:lpstr>4-1專案排程-甘特圖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11146017_卓佑儒</dc:creator>
  <cp:lastModifiedBy>11146017_卓佑儒</cp:lastModifiedBy>
  <dcterms:created xsi:type="dcterms:W3CDTF">2025-04-26T11:56:03Z</dcterms:created>
  <dcterms:modified xsi:type="dcterms:W3CDTF">2025-09-30T20:09:08Z</dcterms:modified>
</cp:coreProperties>
</file>